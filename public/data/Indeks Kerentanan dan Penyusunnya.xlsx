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wrBPW//ykjAcZN5K5GAl2R0lcbUlrG9E0tQ8Kt/wrBs="/>
    </ext>
  </extLst>
</workbook>
</file>

<file path=xl/sharedStrings.xml><?xml version="1.0" encoding="utf-8"?>
<sst xmlns="http://schemas.openxmlformats.org/spreadsheetml/2006/main" count="438" uniqueCount="117">
  <si>
    <t>Provinsi</t>
  </si>
  <si>
    <t>Kabupaten/Kota</t>
  </si>
  <si>
    <t>DIMENSI KETERPAPARAN</t>
  </si>
  <si>
    <t>DIMENSI SENSITIVITAS</t>
  </si>
  <si>
    <t>DIMENSI KAPASITAS ADAPTASI</t>
  </si>
  <si>
    <t>INDEKS KERENTANAN</t>
  </si>
  <si>
    <t>Jumlah Kejadian Banjir Sepanjang Tahun  2025</t>
  </si>
  <si>
    <t>Jumlah Kejadian Tanah Longsor Sepanjang Tahun  2026</t>
  </si>
  <si>
    <t>Normalisasi Kejadian Banjir</t>
  </si>
  <si>
    <t>Normalisasi Kejadian Tanah Longsor</t>
  </si>
  <si>
    <t>Indeks Dimensi Keterpaparan</t>
  </si>
  <si>
    <t>Persentase penduduk miskin per kabupaten</t>
  </si>
  <si>
    <t>Kepadatan penduduk per kabupaten</t>
  </si>
  <si>
    <t>Jumlah penduduk berusia &lt; 5 tahun dan &gt; 65 tahun</t>
  </si>
  <si>
    <t>Persentase rumah tangga yang tidak memiliki akses terhadap  sumber air minum layak per kabupaten</t>
  </si>
  <si>
    <t>Normalisasi Persentase Penduduk Miskin</t>
  </si>
  <si>
    <t>Normalisasi Kepadatan Penduduk</t>
  </si>
  <si>
    <t>Normalisasi Penduduk Berusia &lt; 5 Tahun  dan &gt; 65 Tahun</t>
  </si>
  <si>
    <t>Normalisasi Persentase rumah tangga yang tidak memiliki akses terhadap  sumber air minum layak per kabupaten</t>
  </si>
  <si>
    <t>Indeks Dimensi Sensitivitas</t>
  </si>
  <si>
    <t>Jumlah faskes per kabupaten (rumah sakit umum, rumah sakit khusus, puskesmas, klinik)</t>
  </si>
  <si>
    <t>Persentase Rumah Tangga yang Memiliki Akses Penerangan Listrik</t>
  </si>
  <si>
    <t>Persentase Banyaknya Desa/Kelurahan menurut Kabupaten/Kota dengan Penerimaan Sinyal Internet - 5G/4G/LTE</t>
  </si>
  <si>
    <t>Normalisasi Jumlah Faskes</t>
  </si>
  <si>
    <t>Normalisasi Persentase Rumah Tangga yang Memiliki Akses Penerangan Listrik</t>
  </si>
  <si>
    <t>Normalisasi Persentase Banyaknya Desa/Kelurahan menurut Kabupaten/Kota dengan Penerimaan Sinyal Internet - 5G/4G/LTE</t>
  </si>
  <si>
    <t>Indeks Dimensi Kapasitas Adaptasi</t>
  </si>
  <si>
    <t>Status</t>
  </si>
  <si>
    <t>Aceh</t>
  </si>
  <si>
    <t>Simeulue</t>
  </si>
  <si>
    <t>Aceh Singkil</t>
  </si>
  <si>
    <t>*Catatan Dimensi Kerentanan</t>
  </si>
  <si>
    <t>Aceh Selatan</t>
  </si>
  <si>
    <t>Min Kejadian Banjir</t>
  </si>
  <si>
    <t>Aceh Tenggara</t>
  </si>
  <si>
    <t>Max Kejadian Banjir</t>
  </si>
  <si>
    <t>Aceh Timur</t>
  </si>
  <si>
    <t>Min Kejadian Longsor</t>
  </si>
  <si>
    <t>Aceh Tengah</t>
  </si>
  <si>
    <t>Max Kejadian Longsor</t>
  </si>
  <si>
    <t>Aceh Barat</t>
  </si>
  <si>
    <t>Rata-Rata</t>
  </si>
  <si>
    <t>Aceh Besar</t>
  </si>
  <si>
    <t>Std Dev</t>
  </si>
  <si>
    <t>Pidie</t>
  </si>
  <si>
    <t>Bireuen</t>
  </si>
  <si>
    <t>Aceh Utara</t>
  </si>
  <si>
    <t>Aceh Barat Daya</t>
  </si>
  <si>
    <t>Gayo Lues</t>
  </si>
  <si>
    <t>Aceh Tamiang</t>
  </si>
  <si>
    <t>Nagan Raya</t>
  </si>
  <si>
    <t>Aceh Jaya</t>
  </si>
  <si>
    <t>Bener Meriah</t>
  </si>
  <si>
    <t>Pidie Jaya</t>
  </si>
  <si>
    <t>Kota Banda Aceh</t>
  </si>
  <si>
    <t>Kota Sabang</t>
  </si>
  <si>
    <t>Kota Langsa</t>
  </si>
  <si>
    <t>Kota Lhokseumawe</t>
  </si>
  <si>
    <t>Kota Subulussalam</t>
  </si>
  <si>
    <t>Sumatera Utara</t>
  </si>
  <si>
    <t>Nias</t>
  </si>
  <si>
    <t>Mandailing Natal</t>
  </si>
  <si>
    <t>Tapanuli Selatan</t>
  </si>
  <si>
    <t>Tapanuli Tengah</t>
  </si>
  <si>
    <t>Tapanuli Utara</t>
  </si>
  <si>
    <t>Toba Samosir</t>
  </si>
  <si>
    <t>Labuhan Batu</t>
  </si>
  <si>
    <t>Asahan</t>
  </si>
  <si>
    <t>Simalungun</t>
  </si>
  <si>
    <t>Dairi</t>
  </si>
  <si>
    <t>Karo</t>
  </si>
  <si>
    <t>Deli Serdang</t>
  </si>
  <si>
    <t>Langkat</t>
  </si>
  <si>
    <t>Nias Selatan</t>
  </si>
  <si>
    <t>Humbang Hasundutan</t>
  </si>
  <si>
    <t>Pakpak Bharat</t>
  </si>
  <si>
    <t>Samosir</t>
  </si>
  <si>
    <t>Serdang Bedagai</t>
  </si>
  <si>
    <t>Batu Bara</t>
  </si>
  <si>
    <t>Padang Lawas Utara</t>
  </si>
  <si>
    <t>Padang Lawas</t>
  </si>
  <si>
    <t>Labuhan Batu Selatan</t>
  </si>
  <si>
    <t>Labuhan Batu Utara</t>
  </si>
  <si>
    <t>Nias Utara</t>
  </si>
  <si>
    <t>Nias Barat</t>
  </si>
  <si>
    <t>Kota Sibolga</t>
  </si>
  <si>
    <t>Kota Tanjung Balai</t>
  </si>
  <si>
    <t>Kota Pematang Siantar</t>
  </si>
  <si>
    <t>Kota Tebing Tinggi</t>
  </si>
  <si>
    <t>Kota Medan</t>
  </si>
  <si>
    <t>Kota Binjai</t>
  </si>
  <si>
    <t>Kota Padangsidimpuan</t>
  </si>
  <si>
    <t>Kota Gunungsitoli</t>
  </si>
  <si>
    <t>Sumatera Barat</t>
  </si>
  <si>
    <t>Kepulauan Mentawai</t>
  </si>
  <si>
    <t>Pesisir Selatan</t>
  </si>
  <si>
    <t>Solok</t>
  </si>
  <si>
    <t>Sijunjung</t>
  </si>
  <si>
    <t>Tanah Datar</t>
  </si>
  <si>
    <t>Padang Pariaman</t>
  </si>
  <si>
    <t>Agam</t>
  </si>
  <si>
    <t>Lima Puluh Kota</t>
  </si>
  <si>
    <t>Pasaman</t>
  </si>
  <si>
    <t>Solok Selatan</t>
  </si>
  <si>
    <t>Dharmasraya</t>
  </si>
  <si>
    <t>Pasaman Barat</t>
  </si>
  <si>
    <t>Kota Padang</t>
  </si>
  <si>
    <t>Kota Solok</t>
  </si>
  <si>
    <t>Kota Sawah Lunto</t>
  </si>
  <si>
    <t>Kota Padang Panjang</t>
  </si>
  <si>
    <t>Kota Bukittinggi</t>
  </si>
  <si>
    <t>Kota Payakumbuh</t>
  </si>
  <si>
    <t>Kota Pariaman</t>
  </si>
  <si>
    <t>Sedang</t>
  </si>
  <si>
    <t>Tinggi</t>
  </si>
  <si>
    <t>Sangat Tinggi</t>
  </si>
  <si>
    <t>Rendah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</si>
</sst>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000"/>
  </numFmts>
  <fonts count="9">
    <font>
      <sz val="11.0"/>
      <color theme="1"/>
      <name val="Aptos Narrow"/>
      <scheme val="minor"/>
    </font>
    <font>
      <b/>
      <sz val="11.0"/>
      <color theme="1"/>
      <name val="Aptos Narrow"/>
    </font>
    <font/>
    <font>
      <sz val="11.0"/>
      <color theme="1"/>
      <name val="Aptos Narrow"/>
    </font>
    <font>
      <sz val="11.0"/>
      <color theme="1"/>
      <name val="Arial"/>
    </font>
    <font>
      <sz val="11.0"/>
      <color rgb="FFFF0000"/>
      <name val="Aptos Narrow"/>
    </font>
    <font>
      <sz val="11.0"/>
      <color theme="1"/>
      <name val="Calibri"/>
    </font>
    <font>
      <sz val="11.0"/>
      <color rgb="FF000000"/>
      <name val="&quot;Aptos Narrow&quot;"/>
    </font>
    <font>
      <color theme="1"/>
      <name val="Aptos Narrow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AE2D5"/>
        <bgColor rgb="FFFAE2D5"/>
      </patternFill>
    </fill>
    <fill>
      <patternFill patternType="solid">
        <fgColor rgb="FFC1F0C8"/>
        <bgColor rgb="FFC1F0C8"/>
      </patternFill>
    </fill>
    <fill>
      <patternFill patternType="solid">
        <fgColor rgb="FFCAEDFB"/>
        <bgColor rgb="FFCAEDFB"/>
      </patternFill>
    </fill>
    <fill>
      <patternFill patternType="solid">
        <fgColor rgb="FFF1CEEE"/>
        <bgColor rgb="FFF1CEEE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31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2" fontId="1" numFmtId="0" xfId="0" applyAlignment="1" applyBorder="1" applyFill="1" applyFont="1">
      <alignment horizontal="center" vertical="center"/>
    </xf>
    <xf borderId="3" fillId="0" fontId="2" numFmtId="0" xfId="0" applyBorder="1" applyFont="1"/>
    <xf borderId="4" fillId="0" fontId="2" numFmtId="0" xfId="0" applyBorder="1" applyFont="1"/>
    <xf borderId="2" fillId="3" fontId="1" numFmtId="0" xfId="0" applyAlignment="1" applyBorder="1" applyFill="1" applyFont="1">
      <alignment horizontal="center" vertical="center"/>
    </xf>
    <xf borderId="2" fillId="4" fontId="1" numFmtId="0" xfId="0" applyAlignment="1" applyBorder="1" applyFill="1" applyFont="1">
      <alignment horizontal="center" vertical="center"/>
    </xf>
    <xf borderId="1" fillId="5" fontId="1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vertical="center"/>
    </xf>
    <xf borderId="5" fillId="0" fontId="2" numFmtId="0" xfId="0" applyBorder="1" applyFont="1"/>
    <xf borderId="6" fillId="2" fontId="3" numFmtId="0" xfId="0" applyAlignment="1" applyBorder="1" applyFont="1">
      <alignment horizontal="center" shrinkToFit="0" vertical="center" wrapText="1"/>
    </xf>
    <xf borderId="7" fillId="2" fontId="3" numFmtId="0" xfId="0" applyAlignment="1" applyBorder="1" applyFont="1">
      <alignment horizontal="center" shrinkToFit="0" vertical="center" wrapText="1"/>
    </xf>
    <xf borderId="8" fillId="2" fontId="3" numFmtId="0" xfId="0" applyAlignment="1" applyBorder="1" applyFont="1">
      <alignment horizontal="center" shrinkToFit="0" vertical="center" wrapText="1"/>
    </xf>
    <xf borderId="9" fillId="2" fontId="1" numFmtId="0" xfId="0" applyAlignment="1" applyBorder="1" applyFont="1">
      <alignment horizontal="center" shrinkToFit="0" vertical="center" wrapText="1"/>
    </xf>
    <xf borderId="6" fillId="3" fontId="3" numFmtId="0" xfId="0" applyAlignment="1" applyBorder="1" applyFont="1">
      <alignment horizontal="center" shrinkToFit="0" vertical="center" wrapText="1"/>
    </xf>
    <xf borderId="7" fillId="3" fontId="3" numFmtId="0" xfId="0" applyAlignment="1" applyBorder="1" applyFont="1">
      <alignment horizontal="center" shrinkToFit="0" vertical="center" wrapText="1"/>
    </xf>
    <xf borderId="9" fillId="3" fontId="1" numFmtId="0" xfId="0" applyAlignment="1" applyBorder="1" applyFont="1">
      <alignment horizontal="center" shrinkToFit="0" vertical="center" wrapText="1"/>
    </xf>
    <xf borderId="6" fillId="4" fontId="3" numFmtId="0" xfId="0" applyAlignment="1" applyBorder="1" applyFont="1">
      <alignment horizontal="center" shrinkToFit="0" vertical="center" wrapText="1"/>
    </xf>
    <xf borderId="7" fillId="4" fontId="4" numFmtId="0" xfId="0" applyAlignment="1" applyBorder="1" applyFont="1">
      <alignment horizontal="center" shrinkToFit="0" vertical="center" wrapText="1"/>
    </xf>
    <xf borderId="7" fillId="4" fontId="3" numFmtId="0" xfId="0" applyAlignment="1" applyBorder="1" applyFont="1">
      <alignment horizontal="center" shrinkToFit="0" vertical="center" wrapText="1"/>
    </xf>
    <xf borderId="9" fillId="4" fontId="1" numFmtId="0" xfId="0" applyAlignment="1" applyBorder="1" applyFont="1">
      <alignment horizontal="center" shrinkToFit="0" vertical="center" wrapText="1"/>
    </xf>
    <xf borderId="10" fillId="6" fontId="4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1" fillId="0" fontId="3" numFmtId="0" xfId="0" applyAlignment="1" applyBorder="1" applyFont="1">
      <alignment horizontal="left" vertical="center"/>
    </xf>
    <xf borderId="12" fillId="0" fontId="3" numFmtId="0" xfId="0" applyAlignment="1" applyBorder="1" applyFont="1">
      <alignment horizontal="center" vertical="center"/>
    </xf>
    <xf borderId="13" fillId="0" fontId="4" numFmtId="0" xfId="0" applyAlignment="1" applyBorder="1" applyFont="1">
      <alignment horizontal="center" vertical="center"/>
    </xf>
    <xf borderId="13" fillId="0" fontId="3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center" vertical="center"/>
    </xf>
    <xf borderId="15" fillId="0" fontId="5" numFmtId="0" xfId="0" applyAlignment="1" applyBorder="1" applyFont="1">
      <alignment horizontal="center" vertical="center"/>
    </xf>
    <xf borderId="12" fillId="0" fontId="3" numFmtId="164" xfId="0" applyAlignment="1" applyBorder="1" applyFont="1" applyNumberFormat="1">
      <alignment horizontal="center" vertical="center"/>
    </xf>
    <xf borderId="13" fillId="0" fontId="3" numFmtId="10" xfId="0" applyAlignment="1" applyBorder="1" applyFont="1" applyNumberFormat="1">
      <alignment horizontal="center" vertical="center"/>
    </xf>
    <xf borderId="15" fillId="0" fontId="5" numFmtId="4" xfId="0" applyAlignment="1" applyBorder="1" applyFont="1" applyNumberFormat="1">
      <alignment horizontal="center" vertical="center"/>
    </xf>
    <xf borderId="12" fillId="0" fontId="3" numFmtId="1" xfId="0" applyAlignment="1" applyBorder="1" applyFont="1" applyNumberFormat="1">
      <alignment horizontal="center" shrinkToFit="0" vertical="center" wrapText="1"/>
    </xf>
    <xf borderId="0" fillId="0" fontId="6" numFmtId="4" xfId="0" applyAlignment="1" applyFont="1" applyNumberFormat="1">
      <alignment horizontal="right"/>
    </xf>
    <xf borderId="13" fillId="0" fontId="3" numFmtId="10" xfId="0" applyAlignment="1" applyBorder="1" applyFont="1" applyNumberFormat="1">
      <alignment horizontal="center" shrinkToFit="0" vertical="center" wrapText="1"/>
    </xf>
    <xf borderId="13" fillId="0" fontId="3" numFmtId="165" xfId="0" applyAlignment="1" applyBorder="1" applyFont="1" applyNumberFormat="1">
      <alignment horizontal="center" shrinkToFit="0" vertical="center" wrapText="1"/>
    </xf>
    <xf borderId="16" fillId="7" fontId="7" numFmtId="165" xfId="0" applyAlignment="1" applyBorder="1" applyFill="1" applyFont="1" applyNumberFormat="1">
      <alignment horizontal="right"/>
    </xf>
    <xf borderId="15" fillId="0" fontId="5" numFmtId="165" xfId="0" applyAlignment="1" applyBorder="1" applyFont="1" applyNumberFormat="1">
      <alignment horizontal="center" vertical="center"/>
    </xf>
    <xf borderId="17" fillId="5" fontId="3" numFmtId="4" xfId="0" applyAlignment="1" applyBorder="1" applyFont="1" applyNumberFormat="1">
      <alignment horizontal="center"/>
    </xf>
    <xf borderId="16" fillId="0" fontId="3" numFmtId="0" xfId="0" applyBorder="1" applyFont="1"/>
    <xf borderId="18" fillId="0" fontId="3" numFmtId="0" xfId="0" applyAlignment="1" applyBorder="1" applyFont="1">
      <alignment horizontal="left" vertical="center"/>
    </xf>
    <xf borderId="19" fillId="0" fontId="3" numFmtId="0" xfId="0" applyAlignment="1" applyBorder="1" applyFont="1">
      <alignment horizontal="center" vertical="center"/>
    </xf>
    <xf borderId="16" fillId="0" fontId="3" numFmtId="0" xfId="0" applyAlignment="1" applyBorder="1" applyFont="1">
      <alignment horizontal="center" vertical="center"/>
    </xf>
    <xf borderId="20" fillId="0" fontId="3" numFmtId="0" xfId="0" applyAlignment="1" applyBorder="1" applyFont="1">
      <alignment horizontal="center" vertical="center"/>
    </xf>
    <xf borderId="21" fillId="0" fontId="5" numFmtId="0" xfId="0" applyAlignment="1" applyBorder="1" applyFont="1">
      <alignment horizontal="center" vertical="center"/>
    </xf>
    <xf borderId="19" fillId="0" fontId="3" numFmtId="164" xfId="0" applyAlignment="1" applyBorder="1" applyFont="1" applyNumberFormat="1">
      <alignment horizontal="center" vertical="center"/>
    </xf>
    <xf borderId="16" fillId="0" fontId="3" numFmtId="10" xfId="0" applyAlignment="1" applyBorder="1" applyFont="1" applyNumberFormat="1">
      <alignment horizontal="center" vertical="center"/>
    </xf>
    <xf borderId="21" fillId="0" fontId="5" numFmtId="4" xfId="0" applyAlignment="1" applyBorder="1" applyFont="1" applyNumberFormat="1">
      <alignment horizontal="center" vertical="center"/>
    </xf>
    <xf borderId="19" fillId="0" fontId="3" numFmtId="1" xfId="0" applyAlignment="1" applyBorder="1" applyFont="1" applyNumberFormat="1">
      <alignment horizontal="center" shrinkToFit="0" vertical="center" wrapText="1"/>
    </xf>
    <xf borderId="16" fillId="0" fontId="3" numFmtId="10" xfId="0" applyAlignment="1" applyBorder="1" applyFont="1" applyNumberFormat="1">
      <alignment horizontal="center" shrinkToFit="0" vertical="center" wrapText="1"/>
    </xf>
    <xf borderId="22" fillId="7" fontId="7" numFmtId="165" xfId="0" applyAlignment="1" applyBorder="1" applyFont="1" applyNumberFormat="1">
      <alignment horizontal="right"/>
    </xf>
    <xf borderId="21" fillId="0" fontId="5" numFmtId="165" xfId="0" applyAlignment="1" applyBorder="1" applyFont="1" applyNumberFormat="1">
      <alignment horizontal="center" vertical="center"/>
    </xf>
    <xf borderId="23" fillId="5" fontId="3" numFmtId="4" xfId="0" applyAlignment="1" applyBorder="1" applyFont="1" applyNumberFormat="1">
      <alignment horizontal="center"/>
    </xf>
    <xf borderId="0" fillId="0" fontId="3" numFmtId="0" xfId="0" applyFont="1"/>
    <xf borderId="16" fillId="0" fontId="4" numFmtId="0" xfId="0" applyBorder="1" applyFont="1"/>
    <xf borderId="0" fillId="0" fontId="4" numFmtId="0" xfId="0" applyFont="1"/>
    <xf borderId="0" fillId="0" fontId="3" numFmtId="4" xfId="0" applyFont="1" applyNumberFormat="1"/>
    <xf borderId="21" fillId="8" fontId="5" numFmtId="165" xfId="0" applyAlignment="1" applyBorder="1" applyFill="1" applyFont="1" applyNumberFormat="1">
      <alignment horizontal="center" vertical="center"/>
    </xf>
    <xf borderId="24" fillId="0" fontId="3" numFmtId="0" xfId="0" applyAlignment="1" applyBorder="1" applyFont="1">
      <alignment horizontal="left" vertical="center"/>
    </xf>
    <xf borderId="25" fillId="0" fontId="3" numFmtId="0" xfId="0" applyAlignment="1" applyBorder="1" applyFont="1">
      <alignment horizontal="center" vertical="center"/>
    </xf>
    <xf borderId="26" fillId="0" fontId="3" numFmtId="0" xfId="0" applyAlignment="1" applyBorder="1" applyFont="1">
      <alignment horizontal="center" vertical="center"/>
    </xf>
    <xf borderId="27" fillId="0" fontId="3" numFmtId="0" xfId="0" applyAlignment="1" applyBorder="1" applyFont="1">
      <alignment horizontal="center" vertical="center"/>
    </xf>
    <xf borderId="28" fillId="0" fontId="5" numFmtId="0" xfId="0" applyAlignment="1" applyBorder="1" applyFont="1">
      <alignment horizontal="center" vertical="center"/>
    </xf>
    <xf borderId="25" fillId="0" fontId="3" numFmtId="164" xfId="0" applyAlignment="1" applyBorder="1" applyFont="1" applyNumberFormat="1">
      <alignment horizontal="center" vertical="center"/>
    </xf>
    <xf borderId="26" fillId="0" fontId="3" numFmtId="10" xfId="0" applyAlignment="1" applyBorder="1" applyFont="1" applyNumberFormat="1">
      <alignment horizontal="center" vertical="center"/>
    </xf>
    <xf borderId="28" fillId="0" fontId="5" numFmtId="4" xfId="0" applyAlignment="1" applyBorder="1" applyFont="1" applyNumberFormat="1">
      <alignment horizontal="center" vertical="center"/>
    </xf>
    <xf borderId="25" fillId="0" fontId="3" numFmtId="1" xfId="0" applyAlignment="1" applyBorder="1" applyFont="1" applyNumberFormat="1">
      <alignment horizontal="center" shrinkToFit="0" vertical="center" wrapText="1"/>
    </xf>
    <xf borderId="26" fillId="0" fontId="3" numFmtId="10" xfId="0" applyAlignment="1" applyBorder="1" applyFont="1" applyNumberFormat="1">
      <alignment horizontal="center" shrinkToFit="0" vertical="center" wrapText="1"/>
    </xf>
    <xf borderId="29" fillId="0" fontId="3" numFmtId="165" xfId="0" applyAlignment="1" applyBorder="1" applyFont="1" applyNumberFormat="1">
      <alignment horizontal="center" shrinkToFit="0" vertical="center" wrapText="1"/>
    </xf>
    <xf borderId="28" fillId="0" fontId="5" numFmtId="165" xfId="0" applyAlignment="1" applyBorder="1" applyFont="1" applyNumberFormat="1">
      <alignment horizontal="center" vertical="center"/>
    </xf>
    <xf borderId="30" fillId="5" fontId="3" numFmtId="4" xfId="0" applyAlignment="1" applyBorder="1" applyFont="1" applyNumberFormat="1">
      <alignment horizontal="center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13.5"/>
    <col customWidth="1" min="2" max="2" width="19.38"/>
    <col customWidth="1" min="3" max="3" width="14.38"/>
    <col customWidth="1" min="4" max="4" width="14.25"/>
    <col customWidth="1" min="5" max="5" width="10.63"/>
    <col customWidth="1" min="6" max="6" width="12.0"/>
    <col customWidth="1" min="7" max="7" width="12.88"/>
    <col customWidth="1" min="8" max="8" width="10.38"/>
    <col customWidth="1" min="9" max="9" width="10.5"/>
    <col customWidth="1" min="10" max="10" width="14.63"/>
    <col customWidth="1" min="11" max="11" width="22.88"/>
    <col customWidth="1" min="12" max="12" width="12.88"/>
    <col customWidth="1" min="13" max="13" width="11.13"/>
    <col customWidth="1" min="14" max="14" width="15.38"/>
    <col customWidth="1" min="15" max="15" width="21.13"/>
    <col customWidth="1" min="16" max="16" width="10.38"/>
    <col customWidth="1" min="17" max="17" width="21.75"/>
    <col customWidth="1" min="18" max="18" width="24.13"/>
    <col customWidth="1" min="19" max="19" width="30.88"/>
    <col customWidth="1" min="20" max="20" width="11.25"/>
    <col customWidth="1" min="21" max="21" width="24.13"/>
    <col customWidth="1" min="22" max="22" width="30.88"/>
    <col customWidth="1" min="23" max="23" width="9.38"/>
    <col customWidth="1" min="24" max="24" width="14.38"/>
    <col customWidth="1" min="25" max="25" width="18.75"/>
    <col customWidth="1" min="26" max="26" width="19.25"/>
    <col customWidth="1" min="27" max="27" width="8.63"/>
  </cols>
  <sheetData>
    <row r="1">
      <c r="A1" s="1" t="s">
        <v>0</v>
      </c>
      <c r="B1" s="1" t="s">
        <v>1</v>
      </c>
      <c r="C1" s="2" t="s">
        <v>2</v>
      </c>
      <c r="D1" s="3"/>
      <c r="E1" s="3"/>
      <c r="F1" s="3"/>
      <c r="G1" s="4"/>
      <c r="H1" s="5" t="s">
        <v>3</v>
      </c>
      <c r="I1" s="3"/>
      <c r="J1" s="3"/>
      <c r="K1" s="3"/>
      <c r="L1" s="3"/>
      <c r="M1" s="3"/>
      <c r="N1" s="3"/>
      <c r="O1" s="3"/>
      <c r="P1" s="4"/>
      <c r="Q1" s="6" t="s">
        <v>4</v>
      </c>
      <c r="R1" s="3"/>
      <c r="S1" s="3"/>
      <c r="T1" s="3"/>
      <c r="U1" s="3"/>
      <c r="V1" s="3"/>
      <c r="W1" s="4"/>
      <c r="X1" s="7" t="s">
        <v>5</v>
      </c>
      <c r="Y1" s="8"/>
      <c r="Z1" s="8"/>
      <c r="AA1" s="8"/>
    </row>
    <row r="2">
      <c r="A2" s="9"/>
      <c r="B2" s="9"/>
      <c r="C2" s="10" t="s">
        <v>6</v>
      </c>
      <c r="D2" s="11" t="s">
        <v>7</v>
      </c>
      <c r="E2" s="11" t="s">
        <v>8</v>
      </c>
      <c r="F2" s="12" t="s">
        <v>9</v>
      </c>
      <c r="G2" s="13" t="s">
        <v>10</v>
      </c>
      <c r="H2" s="14" t="s">
        <v>11</v>
      </c>
      <c r="I2" s="15" t="s">
        <v>12</v>
      </c>
      <c r="J2" s="15" t="s">
        <v>13</v>
      </c>
      <c r="K2" s="15" t="s">
        <v>14</v>
      </c>
      <c r="L2" s="15" t="s">
        <v>15</v>
      </c>
      <c r="M2" s="15" t="s">
        <v>16</v>
      </c>
      <c r="N2" s="15" t="s">
        <v>17</v>
      </c>
      <c r="O2" s="15" t="s">
        <v>18</v>
      </c>
      <c r="P2" s="16" t="s">
        <v>19</v>
      </c>
      <c r="Q2" s="17" t="s">
        <v>20</v>
      </c>
      <c r="R2" s="18" t="s">
        <v>21</v>
      </c>
      <c r="S2" s="19" t="s">
        <v>22</v>
      </c>
      <c r="T2" s="19" t="s">
        <v>23</v>
      </c>
      <c r="U2" s="18" t="s">
        <v>24</v>
      </c>
      <c r="V2" s="19" t="s">
        <v>25</v>
      </c>
      <c r="W2" s="20" t="s">
        <v>26</v>
      </c>
      <c r="X2" s="9"/>
      <c r="Y2" s="21" t="s">
        <v>27</v>
      </c>
      <c r="Z2" s="22"/>
      <c r="AA2" s="22"/>
    </row>
    <row r="3" ht="14.25" customHeight="1">
      <c r="A3" s="23" t="s">
        <v>28</v>
      </c>
      <c r="B3" s="23" t="s">
        <v>29</v>
      </c>
      <c r="C3" s="24">
        <v>0.0</v>
      </c>
      <c r="D3" s="25">
        <v>0.0</v>
      </c>
      <c r="E3" s="26">
        <f t="shared" ref="E3:E77" si="2">(C3-$AA$5)/($AA$6-$AA$5)</f>
        <v>0</v>
      </c>
      <c r="F3" s="27">
        <f t="shared" ref="F3:F77" si="3">(D3-$AA$7)/($AA$8-$AA$7)</f>
        <v>0</v>
      </c>
      <c r="G3" s="28">
        <f t="shared" ref="G3:G77" si="4">AVERAGE(E3:F3)</f>
        <v>0</v>
      </c>
      <c r="H3" s="29">
        <v>0.1552</v>
      </c>
      <c r="I3" s="26">
        <v>55.0</v>
      </c>
      <c r="J3" s="26">
        <v>13345.0</v>
      </c>
      <c r="K3" s="26">
        <v>14.87</v>
      </c>
      <c r="L3" s="30">
        <f t="shared" ref="L3:O3" si="1">(H3-MIN(H$2:H$76))/(MAX(H$2:H$76)-MIN(H$2:H$76))</f>
        <v>0.6481012658</v>
      </c>
      <c r="M3" s="30">
        <f t="shared" si="1"/>
        <v>0.004398932072</v>
      </c>
      <c r="N3" s="30">
        <f t="shared" si="1"/>
        <v>0.0166135545</v>
      </c>
      <c r="O3" s="30">
        <f t="shared" si="1"/>
        <v>0.3087164552</v>
      </c>
      <c r="P3" s="31">
        <f t="shared" ref="P3:P77" si="6">AVERAGE(L3:O3)</f>
        <v>0.2444575519</v>
      </c>
      <c r="Q3" s="32">
        <v>20.0</v>
      </c>
      <c r="R3" s="33">
        <v>99.82</v>
      </c>
      <c r="S3" s="34">
        <v>0.8913</v>
      </c>
      <c r="T3" s="35">
        <f t="shared" ref="T3:T77" si="7">IF(Q3="","",(Q3-MIN($Q$3:$Q$77))/(MAX($Q$3:$Q$77)-MIN($Q$3:$Q$77)))</f>
        <v>0.05063291139</v>
      </c>
      <c r="U3" s="36">
        <v>0.99</v>
      </c>
      <c r="V3" s="35">
        <f t="shared" ref="V3:V77" si="8">IF(S3="","",(S3-MIN($S$3:$S$77))/(MAX($S$3:$S$77)-MIN($S$3:$S$77)))</f>
        <v>0.7405727924</v>
      </c>
      <c r="W3" s="37">
        <f t="shared" ref="W3:W77" si="9">AVERAGE(T3:V3)</f>
        <v>0.5937352346</v>
      </c>
      <c r="X3" s="38">
        <f t="shared" ref="X3:X77" si="10">G3+P3-W3</f>
        <v>-0.3492776827</v>
      </c>
      <c r="Y3" s="39" t="str">
        <f t="shared" ref="Y3:Y77" si="11">IFS(X3&gt;($AA$9+$AA$10),"Sangat Tinggi",X3&gt;$AA$9,"Tinggi",X3&lt;($AA$9-$AA$10),"Rendah",X3&lt;$AA$9,"Sedang")</f>
        <v>Sedang</v>
      </c>
    </row>
    <row r="4" ht="14.25" customHeight="1">
      <c r="A4" s="40" t="s">
        <v>28</v>
      </c>
      <c r="B4" s="40" t="s">
        <v>30</v>
      </c>
      <c r="C4" s="41">
        <v>1.0</v>
      </c>
      <c r="D4" s="42">
        <v>0.0</v>
      </c>
      <c r="E4" s="42">
        <f t="shared" si="2"/>
        <v>0.125</v>
      </c>
      <c r="F4" s="43">
        <f t="shared" si="3"/>
        <v>0</v>
      </c>
      <c r="G4" s="44">
        <f t="shared" si="4"/>
        <v>0.0625</v>
      </c>
      <c r="H4" s="45">
        <v>0.1707</v>
      </c>
      <c r="I4" s="42">
        <v>75.0</v>
      </c>
      <c r="J4" s="42">
        <v>18411.0</v>
      </c>
      <c r="K4" s="42">
        <v>18.650000000000006</v>
      </c>
      <c r="L4" s="46">
        <f t="shared" ref="L4:O4" si="5">(H4-MIN(H$2:H$76))/(MAX(H$2:H$76)-MIN(H$2:H$76))</f>
        <v>0.7265822785</v>
      </c>
      <c r="M4" s="46">
        <f t="shared" si="5"/>
        <v>0.006638714186</v>
      </c>
      <c r="N4" s="46">
        <f t="shared" si="5"/>
        <v>0.02976011294</v>
      </c>
      <c r="O4" s="46">
        <f t="shared" si="5"/>
        <v>0.3873517787</v>
      </c>
      <c r="P4" s="47">
        <f t="shared" si="6"/>
        <v>0.2875832211</v>
      </c>
      <c r="Q4" s="48">
        <v>25.0</v>
      </c>
      <c r="R4" s="33">
        <v>100.0</v>
      </c>
      <c r="S4" s="49">
        <v>0.7288</v>
      </c>
      <c r="T4" s="35">
        <f t="shared" si="7"/>
        <v>0.07172995781</v>
      </c>
      <c r="U4" s="50">
        <v>1.0</v>
      </c>
      <c r="V4" s="35">
        <f t="shared" si="8"/>
        <v>0.3527446301</v>
      </c>
      <c r="W4" s="51">
        <f t="shared" si="9"/>
        <v>0.4748248626</v>
      </c>
      <c r="X4" s="52">
        <f t="shared" si="10"/>
        <v>-0.1247416416</v>
      </c>
      <c r="Y4" s="39" t="str">
        <f t="shared" si="11"/>
        <v>Tinggi</v>
      </c>
      <c r="Z4" s="53" t="s">
        <v>31</v>
      </c>
    </row>
    <row r="5" ht="14.25" customHeight="1">
      <c r="A5" s="40" t="s">
        <v>28</v>
      </c>
      <c r="B5" s="40" t="s">
        <v>32</v>
      </c>
      <c r="C5" s="41">
        <v>2.0</v>
      </c>
      <c r="D5" s="42">
        <v>1.0</v>
      </c>
      <c r="E5" s="42">
        <f t="shared" si="2"/>
        <v>0.25</v>
      </c>
      <c r="F5" s="43">
        <f t="shared" si="3"/>
        <v>1</v>
      </c>
      <c r="G5" s="44">
        <f t="shared" si="4"/>
        <v>0.625</v>
      </c>
      <c r="H5" s="45">
        <v>0.0989</v>
      </c>
      <c r="I5" s="42">
        <v>59.0</v>
      </c>
      <c r="J5" s="42">
        <v>36310.0</v>
      </c>
      <c r="K5" s="42">
        <v>9.530000000000001</v>
      </c>
      <c r="L5" s="46">
        <f t="shared" ref="L5:O5" si="12">(H5-MIN(H$2:H$76))/(MAX(H$2:H$76)-MIN(H$2:H$76))</f>
        <v>0.3630379747</v>
      </c>
      <c r="M5" s="46">
        <f t="shared" si="12"/>
        <v>0.004846888495</v>
      </c>
      <c r="N5" s="46">
        <f t="shared" si="12"/>
        <v>0.07620903703</v>
      </c>
      <c r="O5" s="46">
        <f t="shared" si="12"/>
        <v>0.1976284585</v>
      </c>
      <c r="P5" s="47">
        <f t="shared" si="6"/>
        <v>0.1604305897</v>
      </c>
      <c r="Q5" s="48">
        <v>46.0</v>
      </c>
      <c r="R5" s="33">
        <v>100.0</v>
      </c>
      <c r="S5" s="49">
        <v>0.8846</v>
      </c>
      <c r="T5" s="35">
        <f t="shared" si="7"/>
        <v>0.1603375527</v>
      </c>
      <c r="U5" s="50">
        <v>1.0</v>
      </c>
      <c r="V5" s="35">
        <f t="shared" si="8"/>
        <v>0.7245823389</v>
      </c>
      <c r="W5" s="51">
        <f t="shared" si="9"/>
        <v>0.6283066305</v>
      </c>
      <c r="X5" s="52">
        <f t="shared" si="10"/>
        <v>0.1571239591</v>
      </c>
      <c r="Y5" s="39" t="str">
        <f t="shared" si="11"/>
        <v>Sangat Tinggi</v>
      </c>
      <c r="Z5" s="54" t="s">
        <v>33</v>
      </c>
      <c r="AA5" s="39">
        <f>MIN(C3:C77)</f>
        <v>0</v>
      </c>
    </row>
    <row r="6" ht="14.25" customHeight="1">
      <c r="A6" s="40" t="s">
        <v>28</v>
      </c>
      <c r="B6" s="40" t="s">
        <v>34</v>
      </c>
      <c r="C6" s="41">
        <v>1.0</v>
      </c>
      <c r="D6" s="42">
        <v>0.0</v>
      </c>
      <c r="E6" s="42">
        <f t="shared" si="2"/>
        <v>0.125</v>
      </c>
      <c r="F6" s="43">
        <f t="shared" si="3"/>
        <v>0</v>
      </c>
      <c r="G6" s="44">
        <f t="shared" si="4"/>
        <v>0.0625</v>
      </c>
      <c r="H6" s="45">
        <v>0.0978</v>
      </c>
      <c r="I6" s="42">
        <v>57.0</v>
      </c>
      <c r="J6" s="42">
        <v>31726.0</v>
      </c>
      <c r="K6" s="42">
        <v>3.760000000000005</v>
      </c>
      <c r="L6" s="46">
        <f t="shared" ref="L6:O6" si="13">(H6-MIN(H$2:H$76))/(MAX(H$2:H$76)-MIN(H$2:H$76))</f>
        <v>0.3574683544</v>
      </c>
      <c r="M6" s="46">
        <f t="shared" si="13"/>
        <v>0.004622910283</v>
      </c>
      <c r="N6" s="46">
        <f t="shared" si="13"/>
        <v>0.06431329603</v>
      </c>
      <c r="O6" s="46">
        <f t="shared" si="13"/>
        <v>0.07759517371</v>
      </c>
      <c r="P6" s="47">
        <f t="shared" si="6"/>
        <v>0.1259999336</v>
      </c>
      <c r="Q6" s="48">
        <v>41.0</v>
      </c>
      <c r="R6" s="33">
        <v>99.88</v>
      </c>
      <c r="S6" s="49">
        <v>0.9143</v>
      </c>
      <c r="T6" s="35">
        <f t="shared" si="7"/>
        <v>0.1392405063</v>
      </c>
      <c r="U6" s="50">
        <v>0.9934</v>
      </c>
      <c r="V6" s="35">
        <f t="shared" si="8"/>
        <v>0.7954653938</v>
      </c>
      <c r="W6" s="51">
        <f t="shared" si="9"/>
        <v>0.6427019667</v>
      </c>
      <c r="X6" s="52">
        <f t="shared" si="10"/>
        <v>-0.4542020331</v>
      </c>
      <c r="Y6" s="39" t="str">
        <f t="shared" si="11"/>
        <v>Sedang</v>
      </c>
      <c r="Z6" s="54" t="s">
        <v>35</v>
      </c>
      <c r="AA6" s="39">
        <f>MAX(C3:C77)</f>
        <v>8</v>
      </c>
    </row>
    <row r="7" ht="14.25" customHeight="1">
      <c r="A7" s="40" t="s">
        <v>28</v>
      </c>
      <c r="B7" s="40" t="s">
        <v>36</v>
      </c>
      <c r="C7" s="41">
        <v>6.0</v>
      </c>
      <c r="D7" s="42">
        <v>0.0</v>
      </c>
      <c r="E7" s="42">
        <f t="shared" si="2"/>
        <v>0.75</v>
      </c>
      <c r="F7" s="43">
        <f t="shared" si="3"/>
        <v>0</v>
      </c>
      <c r="G7" s="44">
        <f t="shared" si="4"/>
        <v>0.375</v>
      </c>
      <c r="H7" s="45">
        <v>0.1124</v>
      </c>
      <c r="I7" s="42">
        <v>83.0</v>
      </c>
      <c r="J7" s="42">
        <v>67012.0</v>
      </c>
      <c r="K7" s="42">
        <v>13.379999999999995</v>
      </c>
      <c r="L7" s="46">
        <f t="shared" ref="L7:O7" si="14">(H7-MIN(H$2:H$76))/(MAX(H$2:H$76)-MIN(H$2:H$76))</f>
        <v>0.4313924051</v>
      </c>
      <c r="M7" s="46">
        <f t="shared" si="14"/>
        <v>0.007534627031</v>
      </c>
      <c r="N7" s="46">
        <f t="shared" si="14"/>
        <v>0.1558824751</v>
      </c>
      <c r="O7" s="46">
        <f t="shared" si="14"/>
        <v>0.2777199917</v>
      </c>
      <c r="P7" s="47">
        <f t="shared" si="6"/>
        <v>0.2181323747</v>
      </c>
      <c r="Q7" s="48">
        <v>53.0</v>
      </c>
      <c r="R7" s="33">
        <v>99.99</v>
      </c>
      <c r="S7" s="49">
        <v>0.8596</v>
      </c>
      <c r="T7" s="35">
        <f t="shared" si="7"/>
        <v>0.1898734177</v>
      </c>
      <c r="U7" s="50">
        <v>0.9994</v>
      </c>
      <c r="V7" s="35">
        <f t="shared" si="8"/>
        <v>0.6649164678</v>
      </c>
      <c r="W7" s="51">
        <f t="shared" si="9"/>
        <v>0.6180632952</v>
      </c>
      <c r="X7" s="52">
        <f t="shared" si="10"/>
        <v>-0.02493092046</v>
      </c>
      <c r="Y7" s="39" t="str">
        <f t="shared" si="11"/>
        <v>Tinggi</v>
      </c>
      <c r="Z7" s="54" t="s">
        <v>37</v>
      </c>
      <c r="AA7" s="39">
        <f>MIN(D3:D77)</f>
        <v>0</v>
      </c>
    </row>
    <row r="8" ht="14.25" customHeight="1">
      <c r="A8" s="40" t="s">
        <v>28</v>
      </c>
      <c r="B8" s="40" t="s">
        <v>38</v>
      </c>
      <c r="C8" s="41">
        <v>1.0</v>
      </c>
      <c r="D8" s="42">
        <v>0.0</v>
      </c>
      <c r="E8" s="42">
        <f t="shared" si="2"/>
        <v>0.125</v>
      </c>
      <c r="F8" s="43">
        <f t="shared" si="3"/>
        <v>0</v>
      </c>
      <c r="G8" s="44">
        <f t="shared" si="4"/>
        <v>0.0625</v>
      </c>
      <c r="H8" s="45">
        <v>0.1229</v>
      </c>
      <c r="I8" s="42">
        <v>51.0</v>
      </c>
      <c r="J8" s="42">
        <v>34864.0</v>
      </c>
      <c r="K8" s="42">
        <v>6.0</v>
      </c>
      <c r="L8" s="46">
        <f t="shared" ref="L8:O8" si="15">(H8-MIN(H$2:H$76))/(MAX(H$2:H$76)-MIN(H$2:H$76))</f>
        <v>0.484556962</v>
      </c>
      <c r="M8" s="46">
        <f t="shared" si="15"/>
        <v>0.003950975649</v>
      </c>
      <c r="N8" s="46">
        <f t="shared" si="15"/>
        <v>0.0724565847</v>
      </c>
      <c r="O8" s="46">
        <f t="shared" si="15"/>
        <v>0.1241938839</v>
      </c>
      <c r="P8" s="47">
        <f t="shared" si="6"/>
        <v>0.1712896016</v>
      </c>
      <c r="Q8" s="48">
        <v>25.0</v>
      </c>
      <c r="R8" s="33">
        <v>99.7</v>
      </c>
      <c r="S8" s="49">
        <v>0.9085</v>
      </c>
      <c r="T8" s="35">
        <f t="shared" si="7"/>
        <v>0.07172995781</v>
      </c>
      <c r="U8" s="50">
        <v>0.9834</v>
      </c>
      <c r="V8" s="35">
        <f t="shared" si="8"/>
        <v>0.7816229117</v>
      </c>
      <c r="W8" s="51">
        <f t="shared" si="9"/>
        <v>0.6122509565</v>
      </c>
      <c r="X8" s="52">
        <f t="shared" si="10"/>
        <v>-0.3784613549</v>
      </c>
      <c r="Y8" s="39" t="str">
        <f t="shared" si="11"/>
        <v>Sedang</v>
      </c>
      <c r="Z8" s="54" t="s">
        <v>39</v>
      </c>
      <c r="AA8" s="39">
        <f>MAX(D3:D77)</f>
        <v>1</v>
      </c>
    </row>
    <row r="9" ht="14.25" customHeight="1">
      <c r="A9" s="40" t="s">
        <v>28</v>
      </c>
      <c r="B9" s="40" t="s">
        <v>40</v>
      </c>
      <c r="C9" s="41">
        <v>4.0</v>
      </c>
      <c r="D9" s="42">
        <v>1.0</v>
      </c>
      <c r="E9" s="42">
        <f t="shared" si="2"/>
        <v>0.5</v>
      </c>
      <c r="F9" s="43">
        <f t="shared" si="3"/>
        <v>1</v>
      </c>
      <c r="G9" s="44">
        <f t="shared" si="4"/>
        <v>0.75</v>
      </c>
      <c r="H9" s="45">
        <v>0.155</v>
      </c>
      <c r="I9" s="42">
        <v>74.0</v>
      </c>
      <c r="J9" s="42">
        <v>30667.0</v>
      </c>
      <c r="K9" s="42">
        <v>2.719999999999999</v>
      </c>
      <c r="L9" s="46">
        <f t="shared" ref="L9:O9" si="16">(H9-MIN(H$2:H$76))/(MAX(H$2:H$76)-MIN(H$2:H$76))</f>
        <v>0.6470886076</v>
      </c>
      <c r="M9" s="46">
        <f t="shared" si="16"/>
        <v>0.00652672508</v>
      </c>
      <c r="N9" s="46">
        <f t="shared" si="16"/>
        <v>0.06156513074</v>
      </c>
      <c r="O9" s="46">
        <f t="shared" si="16"/>
        <v>0.05596005825</v>
      </c>
      <c r="P9" s="47">
        <f t="shared" si="6"/>
        <v>0.1927851304</v>
      </c>
      <c r="Q9" s="48">
        <v>37.0</v>
      </c>
      <c r="R9" s="33">
        <v>99.89</v>
      </c>
      <c r="S9" s="49">
        <v>0.8349</v>
      </c>
      <c r="T9" s="35">
        <f t="shared" si="7"/>
        <v>0.1223628692</v>
      </c>
      <c r="U9" s="50">
        <v>0.9939</v>
      </c>
      <c r="V9" s="35">
        <f t="shared" si="8"/>
        <v>0.6059665871</v>
      </c>
      <c r="W9" s="51">
        <f t="shared" si="9"/>
        <v>0.5740764854</v>
      </c>
      <c r="X9" s="52">
        <f t="shared" si="10"/>
        <v>0.368708645</v>
      </c>
      <c r="Y9" s="39" t="str">
        <f t="shared" si="11"/>
        <v>Sangat Tinggi</v>
      </c>
      <c r="Z9" s="55" t="s">
        <v>41</v>
      </c>
      <c r="AA9" s="56">
        <f>AVERAGE(X3:X77)</f>
        <v>-0.2155866239</v>
      </c>
    </row>
    <row r="10" ht="14.25" customHeight="1">
      <c r="A10" s="40" t="s">
        <v>28</v>
      </c>
      <c r="B10" s="40" t="s">
        <v>42</v>
      </c>
      <c r="C10" s="41">
        <v>4.0</v>
      </c>
      <c r="D10" s="42">
        <v>0.0</v>
      </c>
      <c r="E10" s="42">
        <f t="shared" si="2"/>
        <v>0.5</v>
      </c>
      <c r="F10" s="43">
        <f t="shared" si="3"/>
        <v>0</v>
      </c>
      <c r="G10" s="44">
        <f t="shared" si="4"/>
        <v>0.25</v>
      </c>
      <c r="H10" s="45">
        <v>0.1105</v>
      </c>
      <c r="I10" s="42">
        <v>151.0</v>
      </c>
      <c r="J10" s="42">
        <v>67605.0</v>
      </c>
      <c r="K10" s="42">
        <v>6.019999999999996</v>
      </c>
      <c r="L10" s="46">
        <f t="shared" ref="L10:O10" si="17">(H10-MIN(H$2:H$76))/(MAX(H$2:H$76)-MIN(H$2:H$76))</f>
        <v>0.4217721519</v>
      </c>
      <c r="M10" s="46">
        <f t="shared" si="17"/>
        <v>0.01514988622</v>
      </c>
      <c r="N10" s="46">
        <f t="shared" si="17"/>
        <v>0.1574213438</v>
      </c>
      <c r="O10" s="46">
        <f t="shared" si="17"/>
        <v>0.1246099438</v>
      </c>
      <c r="P10" s="47">
        <f t="shared" si="6"/>
        <v>0.1797383314</v>
      </c>
      <c r="Q10" s="48">
        <v>83.0</v>
      </c>
      <c r="R10" s="33">
        <v>100.0</v>
      </c>
      <c r="S10" s="49">
        <v>0.9502</v>
      </c>
      <c r="T10" s="35">
        <f t="shared" si="7"/>
        <v>0.3164556962</v>
      </c>
      <c r="U10" s="50">
        <v>1.0</v>
      </c>
      <c r="V10" s="35">
        <f t="shared" si="8"/>
        <v>0.8811455847</v>
      </c>
      <c r="W10" s="51">
        <f t="shared" si="9"/>
        <v>0.7325337603</v>
      </c>
      <c r="X10" s="52">
        <f t="shared" si="10"/>
        <v>-0.3027954289</v>
      </c>
      <c r="Y10" s="39" t="str">
        <f t="shared" si="11"/>
        <v>Sedang</v>
      </c>
      <c r="Z10" s="55" t="s">
        <v>43</v>
      </c>
      <c r="AA10" s="53">
        <f>STDEV(X3:X77)</f>
        <v>0.2863685428</v>
      </c>
    </row>
    <row r="11" ht="14.25" customHeight="1">
      <c r="A11" s="40" t="s">
        <v>28</v>
      </c>
      <c r="B11" s="40" t="s">
        <v>44</v>
      </c>
      <c r="C11" s="41">
        <v>2.0</v>
      </c>
      <c r="D11" s="42">
        <v>0.0</v>
      </c>
      <c r="E11" s="42">
        <f t="shared" si="2"/>
        <v>0.25</v>
      </c>
      <c r="F11" s="43">
        <f t="shared" si="3"/>
        <v>0</v>
      </c>
      <c r="G11" s="44">
        <f t="shared" si="4"/>
        <v>0.125</v>
      </c>
      <c r="H11" s="45">
        <v>0.1646</v>
      </c>
      <c r="I11" s="42">
        <v>146.0</v>
      </c>
      <c r="J11" s="42">
        <v>75459.0</v>
      </c>
      <c r="K11" s="42">
        <v>9.230000000000004</v>
      </c>
      <c r="L11" s="46">
        <f t="shared" ref="L11:O11" si="18">(H11-MIN(H$2:H$76))/(MAX(H$2:H$76)-MIN(H$2:H$76))</f>
        <v>0.6956962025</v>
      </c>
      <c r="M11" s="46">
        <f t="shared" si="18"/>
        <v>0.01458994069</v>
      </c>
      <c r="N11" s="46">
        <f t="shared" si="18"/>
        <v>0.177802921</v>
      </c>
      <c r="O11" s="46">
        <f t="shared" si="18"/>
        <v>0.1913875598</v>
      </c>
      <c r="P11" s="47">
        <f t="shared" si="6"/>
        <v>0.269869156</v>
      </c>
      <c r="Q11" s="48">
        <v>55.0</v>
      </c>
      <c r="R11" s="33">
        <v>100.0</v>
      </c>
      <c r="S11" s="49">
        <v>0.9726</v>
      </c>
      <c r="T11" s="35">
        <f t="shared" si="7"/>
        <v>0.1983122363</v>
      </c>
      <c r="U11" s="50">
        <v>1.0</v>
      </c>
      <c r="V11" s="35">
        <f t="shared" si="8"/>
        <v>0.9346062053</v>
      </c>
      <c r="W11" s="51">
        <f t="shared" si="9"/>
        <v>0.7109728138</v>
      </c>
      <c r="X11" s="52">
        <f t="shared" si="10"/>
        <v>-0.3161036578</v>
      </c>
      <c r="Y11" s="39" t="str">
        <f t="shared" si="11"/>
        <v>Sedang</v>
      </c>
    </row>
    <row r="12" ht="14.25" customHeight="1">
      <c r="A12" s="40" t="s">
        <v>28</v>
      </c>
      <c r="B12" s="40" t="s">
        <v>45</v>
      </c>
      <c r="C12" s="41">
        <v>2.0</v>
      </c>
      <c r="D12" s="42">
        <v>0.0</v>
      </c>
      <c r="E12" s="42">
        <f t="shared" si="2"/>
        <v>0.25</v>
      </c>
      <c r="F12" s="43">
        <f t="shared" si="3"/>
        <v>0</v>
      </c>
      <c r="G12" s="44">
        <f t="shared" si="4"/>
        <v>0.125</v>
      </c>
      <c r="H12" s="45">
        <v>0.103</v>
      </c>
      <c r="I12" s="42">
        <v>259.0</v>
      </c>
      <c r="J12" s="42">
        <v>74446.0</v>
      </c>
      <c r="K12" s="42">
        <v>8.61</v>
      </c>
      <c r="L12" s="46">
        <f t="shared" ref="L12:O12" si="19">(H12-MIN(H$2:H$76))/(MAX(H$2:H$76)-MIN(H$2:H$76))</f>
        <v>0.3837974684</v>
      </c>
      <c r="M12" s="46">
        <f t="shared" si="19"/>
        <v>0.02724470963</v>
      </c>
      <c r="N12" s="46">
        <f t="shared" si="19"/>
        <v>0.1751741283</v>
      </c>
      <c r="O12" s="46">
        <f t="shared" si="19"/>
        <v>0.1784897025</v>
      </c>
      <c r="P12" s="47">
        <f t="shared" si="6"/>
        <v>0.1911765022</v>
      </c>
      <c r="Q12" s="48">
        <v>60.0</v>
      </c>
      <c r="R12" s="33">
        <v>100.0</v>
      </c>
      <c r="S12" s="49">
        <v>0.8982</v>
      </c>
      <c r="T12" s="35">
        <f t="shared" si="7"/>
        <v>0.2194092827</v>
      </c>
      <c r="U12" s="50">
        <v>1.0</v>
      </c>
      <c r="V12" s="35">
        <f t="shared" si="8"/>
        <v>0.7570405728</v>
      </c>
      <c r="W12" s="51">
        <f t="shared" si="9"/>
        <v>0.6588166185</v>
      </c>
      <c r="X12" s="52">
        <f t="shared" si="10"/>
        <v>-0.3426401163</v>
      </c>
      <c r="Y12" s="39" t="str">
        <f t="shared" si="11"/>
        <v>Sedang</v>
      </c>
    </row>
    <row r="13" ht="14.25" customHeight="1">
      <c r="A13" s="40" t="s">
        <v>28</v>
      </c>
      <c r="B13" s="40" t="s">
        <v>46</v>
      </c>
      <c r="C13" s="41">
        <v>1.0</v>
      </c>
      <c r="D13" s="42">
        <v>0.0</v>
      </c>
      <c r="E13" s="42">
        <f t="shared" si="2"/>
        <v>0.125</v>
      </c>
      <c r="F13" s="43">
        <f t="shared" si="3"/>
        <v>0</v>
      </c>
      <c r="G13" s="44">
        <f t="shared" si="4"/>
        <v>0.0625</v>
      </c>
      <c r="H13" s="45">
        <v>0.1427</v>
      </c>
      <c r="I13" s="42">
        <v>236.0</v>
      </c>
      <c r="J13" s="42">
        <v>98192.0</v>
      </c>
      <c r="K13" s="42">
        <v>3.6899999999999977</v>
      </c>
      <c r="L13" s="46">
        <f t="shared" ref="L13:O13" si="20">(H13-MIN(H$2:H$76))/(MAX(H$2:H$76)-MIN(H$2:H$76))</f>
        <v>0.5848101266</v>
      </c>
      <c r="M13" s="46">
        <f t="shared" si="20"/>
        <v>0.0246689602</v>
      </c>
      <c r="N13" s="46">
        <f t="shared" si="20"/>
        <v>0.2367963503</v>
      </c>
      <c r="O13" s="46">
        <f t="shared" si="20"/>
        <v>0.07613896401</v>
      </c>
      <c r="P13" s="47">
        <f t="shared" si="6"/>
        <v>0.2306036003</v>
      </c>
      <c r="Q13" s="48">
        <v>75.0</v>
      </c>
      <c r="R13" s="33">
        <v>100.0</v>
      </c>
      <c r="S13" s="49">
        <v>0.8357</v>
      </c>
      <c r="T13" s="35">
        <f t="shared" si="7"/>
        <v>0.2827004219</v>
      </c>
      <c r="U13" s="50">
        <v>1.0</v>
      </c>
      <c r="V13" s="35">
        <f t="shared" si="8"/>
        <v>0.607875895</v>
      </c>
      <c r="W13" s="51">
        <f t="shared" si="9"/>
        <v>0.6301921056</v>
      </c>
      <c r="X13" s="52">
        <f t="shared" si="10"/>
        <v>-0.3370885054</v>
      </c>
      <c r="Y13" s="39" t="str">
        <f t="shared" si="11"/>
        <v>Sedang</v>
      </c>
    </row>
    <row r="14" ht="14.25" customHeight="1">
      <c r="A14" s="40" t="s">
        <v>28</v>
      </c>
      <c r="B14" s="40" t="s">
        <v>47</v>
      </c>
      <c r="C14" s="41">
        <v>3.0</v>
      </c>
      <c r="D14" s="42">
        <v>0.0</v>
      </c>
      <c r="E14" s="42">
        <f t="shared" si="2"/>
        <v>0.375</v>
      </c>
      <c r="F14" s="43">
        <f t="shared" si="3"/>
        <v>0</v>
      </c>
      <c r="G14" s="44">
        <f t="shared" si="4"/>
        <v>0.1875</v>
      </c>
      <c r="H14" s="45">
        <v>0.133</v>
      </c>
      <c r="I14" s="42">
        <v>86.0</v>
      </c>
      <c r="J14" s="42">
        <v>22536.0</v>
      </c>
      <c r="K14" s="42">
        <v>6.400000000000006</v>
      </c>
      <c r="L14" s="46">
        <f t="shared" ref="L14:O14" si="21">(H14-MIN(H$2:H$76))/(MAX(H$2:H$76)-MIN(H$2:H$76))</f>
        <v>0.5356962025</v>
      </c>
      <c r="M14" s="46">
        <f t="shared" si="21"/>
        <v>0.007870594349</v>
      </c>
      <c r="N14" s="46">
        <f t="shared" si="21"/>
        <v>0.0404647228</v>
      </c>
      <c r="O14" s="46">
        <f t="shared" si="21"/>
        <v>0.1325150822</v>
      </c>
      <c r="P14" s="47">
        <f t="shared" si="6"/>
        <v>0.1791366505</v>
      </c>
      <c r="Q14" s="48">
        <v>20.0</v>
      </c>
      <c r="R14" s="33">
        <v>100.0</v>
      </c>
      <c r="S14" s="49">
        <v>0.9737</v>
      </c>
      <c r="T14" s="35">
        <f t="shared" si="7"/>
        <v>0.05063291139</v>
      </c>
      <c r="U14" s="50">
        <v>1.0</v>
      </c>
      <c r="V14" s="35">
        <f t="shared" si="8"/>
        <v>0.9372315036</v>
      </c>
      <c r="W14" s="51">
        <f t="shared" si="9"/>
        <v>0.6626214717</v>
      </c>
      <c r="X14" s="52">
        <f t="shared" si="10"/>
        <v>-0.2959848212</v>
      </c>
      <c r="Y14" s="39" t="str">
        <f t="shared" si="11"/>
        <v>Sedang</v>
      </c>
    </row>
    <row r="15" ht="14.25" customHeight="1">
      <c r="A15" s="40" t="s">
        <v>28</v>
      </c>
      <c r="B15" s="40" t="s">
        <v>48</v>
      </c>
      <c r="C15" s="41">
        <v>3.0</v>
      </c>
      <c r="D15" s="42">
        <v>0.0</v>
      </c>
      <c r="E15" s="42">
        <f t="shared" si="2"/>
        <v>0.375</v>
      </c>
      <c r="F15" s="43">
        <f t="shared" si="3"/>
        <v>0</v>
      </c>
      <c r="G15" s="44">
        <f t="shared" si="4"/>
        <v>0.1875</v>
      </c>
      <c r="H15" s="45">
        <v>0.1677</v>
      </c>
      <c r="I15" s="42">
        <v>20.0</v>
      </c>
      <c r="J15" s="42">
        <v>15096.0</v>
      </c>
      <c r="K15" s="42">
        <v>14.769999999999996</v>
      </c>
      <c r="L15" s="46">
        <f t="shared" ref="L15:O15" si="22">(H15-MIN(H$2:H$76))/(MAX(H$2:H$76)-MIN(H$2:H$76))</f>
        <v>0.7113924051</v>
      </c>
      <c r="M15" s="46">
        <f t="shared" si="22"/>
        <v>0.0004793133724</v>
      </c>
      <c r="N15" s="46">
        <f t="shared" si="22"/>
        <v>0.0211574992</v>
      </c>
      <c r="O15" s="46">
        <f t="shared" si="22"/>
        <v>0.3066361556</v>
      </c>
      <c r="P15" s="47">
        <f t="shared" si="6"/>
        <v>0.2599163433</v>
      </c>
      <c r="Q15" s="48">
        <v>27.0</v>
      </c>
      <c r="R15" s="33">
        <v>100.0</v>
      </c>
      <c r="S15" s="49">
        <v>0.8649</v>
      </c>
      <c r="T15" s="35">
        <f t="shared" si="7"/>
        <v>0.08016877637</v>
      </c>
      <c r="U15" s="50">
        <v>1.0</v>
      </c>
      <c r="V15" s="35">
        <f t="shared" si="8"/>
        <v>0.6775656325</v>
      </c>
      <c r="W15" s="51">
        <f t="shared" si="9"/>
        <v>0.5859114696</v>
      </c>
      <c r="X15" s="52">
        <f t="shared" si="10"/>
        <v>-0.1384951263</v>
      </c>
      <c r="Y15" s="39" t="str">
        <f t="shared" si="11"/>
        <v>Tinggi</v>
      </c>
    </row>
    <row r="16" ht="14.25" customHeight="1">
      <c r="A16" s="40" t="s">
        <v>28</v>
      </c>
      <c r="B16" s="40" t="s">
        <v>49</v>
      </c>
      <c r="C16" s="41">
        <v>3.0</v>
      </c>
      <c r="D16" s="42">
        <v>0.0</v>
      </c>
      <c r="E16" s="42">
        <f t="shared" si="2"/>
        <v>0.375</v>
      </c>
      <c r="F16" s="43">
        <f t="shared" si="3"/>
        <v>0</v>
      </c>
      <c r="G16" s="44">
        <f t="shared" si="4"/>
        <v>0.1875</v>
      </c>
      <c r="H16" s="45">
        <v>0.1084</v>
      </c>
      <c r="I16" s="42">
        <v>143.0</v>
      </c>
      <c r="J16" s="42">
        <v>43497.0</v>
      </c>
      <c r="K16" s="42">
        <v>12.590000000000003</v>
      </c>
      <c r="L16" s="46">
        <f t="shared" ref="L16:O16" si="23">(H16-MIN(H$2:H$76))/(MAX(H$2:H$76)-MIN(H$2:H$76))</f>
        <v>0.4111392405</v>
      </c>
      <c r="M16" s="46">
        <f t="shared" si="23"/>
        <v>0.01425397337</v>
      </c>
      <c r="N16" s="46">
        <f t="shared" si="23"/>
        <v>0.09485971122</v>
      </c>
      <c r="O16" s="46">
        <f t="shared" si="23"/>
        <v>0.2612856251</v>
      </c>
      <c r="P16" s="47">
        <f t="shared" si="6"/>
        <v>0.1953846376</v>
      </c>
      <c r="Q16" s="48">
        <v>40.0</v>
      </c>
      <c r="R16" s="33">
        <v>100.0</v>
      </c>
      <c r="S16" s="49">
        <v>0.9074</v>
      </c>
      <c r="T16" s="35">
        <f t="shared" si="7"/>
        <v>0.135021097</v>
      </c>
      <c r="U16" s="50">
        <v>1.0</v>
      </c>
      <c r="V16" s="35">
        <f t="shared" si="8"/>
        <v>0.7789976134</v>
      </c>
      <c r="W16" s="51">
        <f t="shared" si="9"/>
        <v>0.6380062368</v>
      </c>
      <c r="X16" s="52">
        <f t="shared" si="10"/>
        <v>-0.2551215992</v>
      </c>
      <c r="Y16" s="39" t="str">
        <f t="shared" si="11"/>
        <v>Sedang</v>
      </c>
    </row>
    <row r="17" ht="14.25" customHeight="1">
      <c r="A17" s="40" t="s">
        <v>28</v>
      </c>
      <c r="B17" s="40" t="s">
        <v>50</v>
      </c>
      <c r="C17" s="41">
        <v>2.0</v>
      </c>
      <c r="D17" s="42">
        <v>0.0</v>
      </c>
      <c r="E17" s="42">
        <f t="shared" si="2"/>
        <v>0.25</v>
      </c>
      <c r="F17" s="43">
        <f t="shared" si="3"/>
        <v>0</v>
      </c>
      <c r="G17" s="44">
        <f t="shared" si="4"/>
        <v>0.125</v>
      </c>
      <c r="H17" s="45">
        <v>0.1542</v>
      </c>
      <c r="I17" s="42">
        <v>52.0</v>
      </c>
      <c r="J17" s="42">
        <v>26583.0</v>
      </c>
      <c r="K17" s="42">
        <v>7.650000000000006</v>
      </c>
      <c r="L17" s="46">
        <f t="shared" ref="L17:O17" si="24">(H17-MIN(H$2:H$76))/(MAX(H$2:H$76)-MIN(H$2:H$76))</f>
        <v>0.6430379747</v>
      </c>
      <c r="M17" s="46">
        <f t="shared" si="24"/>
        <v>0.004062964755</v>
      </c>
      <c r="N17" s="46">
        <f t="shared" si="24"/>
        <v>0.05096691821</v>
      </c>
      <c r="O17" s="46">
        <f t="shared" si="24"/>
        <v>0.1585188267</v>
      </c>
      <c r="P17" s="47">
        <f t="shared" si="6"/>
        <v>0.2141466711</v>
      </c>
      <c r="Q17" s="48">
        <v>29.0</v>
      </c>
      <c r="R17" s="33">
        <v>100.0</v>
      </c>
      <c r="S17" s="49">
        <v>0.8604</v>
      </c>
      <c r="T17" s="35">
        <f t="shared" si="7"/>
        <v>0.08860759494</v>
      </c>
      <c r="U17" s="50">
        <v>1.0</v>
      </c>
      <c r="V17" s="35">
        <f t="shared" si="8"/>
        <v>0.6668257757</v>
      </c>
      <c r="W17" s="51">
        <f t="shared" si="9"/>
        <v>0.5851444569</v>
      </c>
      <c r="X17" s="52">
        <f t="shared" si="10"/>
        <v>-0.2459977858</v>
      </c>
      <c r="Y17" s="39" t="str">
        <f t="shared" si="11"/>
        <v>Sedang</v>
      </c>
    </row>
    <row r="18" ht="14.25" customHeight="1">
      <c r="A18" s="40" t="s">
        <v>28</v>
      </c>
      <c r="B18" s="40" t="s">
        <v>51</v>
      </c>
      <c r="C18" s="41">
        <v>7.0</v>
      </c>
      <c r="D18" s="42">
        <v>0.0</v>
      </c>
      <c r="E18" s="42">
        <f t="shared" si="2"/>
        <v>0.875</v>
      </c>
      <c r="F18" s="43">
        <f t="shared" si="3"/>
        <v>0</v>
      </c>
      <c r="G18" s="44">
        <f t="shared" si="4"/>
        <v>0.4375</v>
      </c>
      <c r="H18" s="45">
        <v>0.1037</v>
      </c>
      <c r="I18" s="42">
        <v>26.0</v>
      </c>
      <c r="J18" s="42">
        <v>14816.0</v>
      </c>
      <c r="K18" s="42">
        <v>7.599999999999994</v>
      </c>
      <c r="L18" s="46">
        <f t="shared" ref="L18:O18" si="25">(H18-MIN(H$2:H$76))/(MAX(H$2:H$76)-MIN(H$2:H$76))</f>
        <v>0.3873417722</v>
      </c>
      <c r="M18" s="46">
        <f t="shared" si="25"/>
        <v>0.001151248007</v>
      </c>
      <c r="N18" s="46">
        <f t="shared" si="25"/>
        <v>0.02043088325</v>
      </c>
      <c r="O18" s="46">
        <f t="shared" si="25"/>
        <v>0.1574786769</v>
      </c>
      <c r="P18" s="47">
        <f t="shared" si="6"/>
        <v>0.1416006451</v>
      </c>
      <c r="Q18" s="48">
        <v>17.0</v>
      </c>
      <c r="R18" s="33">
        <v>100.0</v>
      </c>
      <c r="S18" s="49">
        <v>0.8372</v>
      </c>
      <c r="T18" s="35">
        <f t="shared" si="7"/>
        <v>0.03797468354</v>
      </c>
      <c r="U18" s="50">
        <v>1.0</v>
      </c>
      <c r="V18" s="35">
        <f t="shared" si="8"/>
        <v>0.6114558473</v>
      </c>
      <c r="W18" s="51">
        <f t="shared" si="9"/>
        <v>0.5498101769</v>
      </c>
      <c r="X18" s="52">
        <f t="shared" si="10"/>
        <v>0.02929046815</v>
      </c>
      <c r="Y18" s="39" t="str">
        <f t="shared" si="11"/>
        <v>Tinggi</v>
      </c>
    </row>
    <row r="19" ht="14.25" customHeight="1">
      <c r="A19" s="40" t="s">
        <v>28</v>
      </c>
      <c r="B19" s="40" t="s">
        <v>52</v>
      </c>
      <c r="C19" s="41">
        <v>1.0</v>
      </c>
      <c r="D19" s="42">
        <v>1.0</v>
      </c>
      <c r="E19" s="42">
        <f t="shared" si="2"/>
        <v>0.125</v>
      </c>
      <c r="F19" s="43">
        <f t="shared" si="3"/>
        <v>1</v>
      </c>
      <c r="G19" s="44">
        <f t="shared" si="4"/>
        <v>0.5625</v>
      </c>
      <c r="H19" s="45">
        <v>0.162</v>
      </c>
      <c r="I19" s="42">
        <v>91.0</v>
      </c>
      <c r="J19" s="42">
        <v>25083.0</v>
      </c>
      <c r="K19" s="42">
        <v>11.629999999999995</v>
      </c>
      <c r="L19" s="46">
        <f t="shared" ref="L19:O19" si="26">(H19-MIN(H$2:H$76))/(MAX(H$2:H$76)-MIN(H$2:H$76))</f>
        <v>0.6825316456</v>
      </c>
      <c r="M19" s="46">
        <f t="shared" si="26"/>
        <v>0.008430539877</v>
      </c>
      <c r="N19" s="46">
        <f t="shared" si="26"/>
        <v>0.04707433281</v>
      </c>
      <c r="O19" s="46">
        <f t="shared" si="26"/>
        <v>0.2413147493</v>
      </c>
      <c r="P19" s="47">
        <f t="shared" si="6"/>
        <v>0.2448378169</v>
      </c>
      <c r="Q19" s="48">
        <v>25.0</v>
      </c>
      <c r="R19" s="33">
        <v>100.0</v>
      </c>
      <c r="S19" s="49">
        <v>0.9138</v>
      </c>
      <c r="T19" s="35">
        <f t="shared" si="7"/>
        <v>0.07172995781</v>
      </c>
      <c r="U19" s="50">
        <v>1.0</v>
      </c>
      <c r="V19" s="35">
        <f t="shared" si="8"/>
        <v>0.7942720764</v>
      </c>
      <c r="W19" s="51">
        <f t="shared" si="9"/>
        <v>0.6220006781</v>
      </c>
      <c r="X19" s="52">
        <f t="shared" si="10"/>
        <v>0.1853371388</v>
      </c>
      <c r="Y19" s="39" t="str">
        <f t="shared" si="11"/>
        <v>Sangat Tinggi</v>
      </c>
    </row>
    <row r="20" ht="14.25" customHeight="1">
      <c r="A20" s="40" t="s">
        <v>28</v>
      </c>
      <c r="B20" s="40" t="s">
        <v>53</v>
      </c>
      <c r="C20" s="41">
        <v>2.0</v>
      </c>
      <c r="D20" s="42">
        <v>0.0</v>
      </c>
      <c r="E20" s="42">
        <f t="shared" si="2"/>
        <v>0.25</v>
      </c>
      <c r="F20" s="43">
        <f t="shared" si="3"/>
        <v>0</v>
      </c>
      <c r="G20" s="44">
        <f t="shared" si="4"/>
        <v>0.125</v>
      </c>
      <c r="H20" s="45">
        <v>0.1612</v>
      </c>
      <c r="I20" s="42">
        <v>177.0</v>
      </c>
      <c r="J20" s="42">
        <v>29300.0</v>
      </c>
      <c r="K20" s="42">
        <v>9.939999999999998</v>
      </c>
      <c r="L20" s="46">
        <f t="shared" ref="L20:O20" si="27">(H20-MIN(H$2:H$76))/(MAX(H$2:H$76)-MIN(H$2:H$76))</f>
        <v>0.6784810127</v>
      </c>
      <c r="M20" s="46">
        <f t="shared" si="27"/>
        <v>0.01806160297</v>
      </c>
      <c r="N20" s="46">
        <f t="shared" si="27"/>
        <v>0.05801768791</v>
      </c>
      <c r="O20" s="46">
        <f t="shared" si="27"/>
        <v>0.2061576867</v>
      </c>
      <c r="P20" s="47">
        <f t="shared" si="6"/>
        <v>0.2401794976</v>
      </c>
      <c r="Q20" s="48">
        <v>26.0</v>
      </c>
      <c r="R20" s="33">
        <v>99.99</v>
      </c>
      <c r="S20" s="49">
        <v>0.9009</v>
      </c>
      <c r="T20" s="35">
        <f t="shared" si="7"/>
        <v>0.07594936709</v>
      </c>
      <c r="U20" s="50">
        <v>0.9994</v>
      </c>
      <c r="V20" s="35">
        <f t="shared" si="8"/>
        <v>0.7634844869</v>
      </c>
      <c r="W20" s="51">
        <f t="shared" si="9"/>
        <v>0.612944618</v>
      </c>
      <c r="X20" s="52">
        <f t="shared" si="10"/>
        <v>-0.2477651204</v>
      </c>
      <c r="Y20" s="39" t="str">
        <f t="shared" si="11"/>
        <v>Sedang</v>
      </c>
    </row>
    <row r="21" ht="14.25" customHeight="1">
      <c r="A21" s="40" t="s">
        <v>28</v>
      </c>
      <c r="B21" s="40" t="s">
        <v>54</v>
      </c>
      <c r="C21" s="41">
        <v>0.0</v>
      </c>
      <c r="D21" s="42">
        <v>0.0</v>
      </c>
      <c r="E21" s="42">
        <f t="shared" si="2"/>
        <v>0</v>
      </c>
      <c r="F21" s="43">
        <f t="shared" si="3"/>
        <v>0</v>
      </c>
      <c r="G21" s="44">
        <f t="shared" si="4"/>
        <v>0</v>
      </c>
      <c r="H21" s="45">
        <v>0.0545</v>
      </c>
      <c r="I21" s="42">
        <v>4798.0</v>
      </c>
      <c r="J21" s="42">
        <v>38830.0</v>
      </c>
      <c r="K21" s="42">
        <v>0.20999999999999375</v>
      </c>
      <c r="L21" s="46">
        <f t="shared" ref="L21:O21" si="28">(H21-MIN(H$2:H$76))/(MAX(H$2:H$76)-MIN(H$2:H$76))</f>
        <v>0.1382278481</v>
      </c>
      <c r="M21" s="46">
        <f t="shared" si="28"/>
        <v>0.5355632604</v>
      </c>
      <c r="N21" s="46">
        <f t="shared" si="28"/>
        <v>0.0827485805</v>
      </c>
      <c r="O21" s="46">
        <f t="shared" si="28"/>
        <v>0.003744539214</v>
      </c>
      <c r="P21" s="47">
        <f t="shared" si="6"/>
        <v>0.1900710571</v>
      </c>
      <c r="Q21" s="48">
        <v>114.0</v>
      </c>
      <c r="R21" s="33">
        <v>100.0</v>
      </c>
      <c r="S21" s="49">
        <v>1.0</v>
      </c>
      <c r="T21" s="35">
        <f t="shared" si="7"/>
        <v>0.447257384</v>
      </c>
      <c r="U21" s="50">
        <v>1.0</v>
      </c>
      <c r="V21" s="35">
        <f t="shared" si="8"/>
        <v>1</v>
      </c>
      <c r="W21" s="51">
        <f t="shared" si="9"/>
        <v>0.8157524613</v>
      </c>
      <c r="X21" s="52">
        <f t="shared" si="10"/>
        <v>-0.6256814043</v>
      </c>
      <c r="Y21" s="39" t="str">
        <f t="shared" si="11"/>
        <v>Rendah</v>
      </c>
    </row>
    <row r="22" ht="14.25" customHeight="1">
      <c r="A22" s="40" t="s">
        <v>28</v>
      </c>
      <c r="B22" s="40" t="s">
        <v>55</v>
      </c>
      <c r="C22" s="41">
        <v>0.0</v>
      </c>
      <c r="D22" s="42">
        <v>0.0</v>
      </c>
      <c r="E22" s="42">
        <f t="shared" si="2"/>
        <v>0</v>
      </c>
      <c r="F22" s="43">
        <f t="shared" si="3"/>
        <v>0</v>
      </c>
      <c r="G22" s="44">
        <f t="shared" si="4"/>
        <v>0</v>
      </c>
      <c r="H22" s="45">
        <v>0.1275</v>
      </c>
      <c r="I22" s="42">
        <v>361.0</v>
      </c>
      <c r="J22" s="42">
        <v>6943.0</v>
      </c>
      <c r="K22" s="42">
        <v>5.109999999999999</v>
      </c>
      <c r="L22" s="46">
        <f t="shared" ref="L22:O22" si="29">(H22-MIN(H$2:H$76))/(MAX(H$2:H$76)-MIN(H$2:H$76))</f>
        <v>0.5078481013</v>
      </c>
      <c r="M22" s="46">
        <f t="shared" si="29"/>
        <v>0.03866759842</v>
      </c>
      <c r="N22" s="46">
        <f t="shared" si="29"/>
        <v>0</v>
      </c>
      <c r="O22" s="46">
        <f t="shared" si="29"/>
        <v>0.1056792178</v>
      </c>
      <c r="P22" s="47">
        <f t="shared" si="6"/>
        <v>0.1630487294</v>
      </c>
      <c r="Q22" s="48">
        <v>15.0</v>
      </c>
      <c r="R22" s="33">
        <v>100.0</v>
      </c>
      <c r="S22" s="49">
        <v>0.9444</v>
      </c>
      <c r="T22" s="35">
        <f t="shared" si="7"/>
        <v>0.02953586498</v>
      </c>
      <c r="U22" s="50">
        <v>1.0</v>
      </c>
      <c r="V22" s="35">
        <f t="shared" si="8"/>
        <v>0.8673031026</v>
      </c>
      <c r="W22" s="51">
        <f t="shared" si="9"/>
        <v>0.6322796559</v>
      </c>
      <c r="X22" s="52">
        <f t="shared" si="10"/>
        <v>-0.4692309265</v>
      </c>
      <c r="Y22" s="39" t="str">
        <f t="shared" si="11"/>
        <v>Sedang</v>
      </c>
    </row>
    <row r="23" ht="14.25" customHeight="1">
      <c r="A23" s="40" t="s">
        <v>28</v>
      </c>
      <c r="B23" s="40" t="s">
        <v>56</v>
      </c>
      <c r="C23" s="41">
        <v>1.0</v>
      </c>
      <c r="D23" s="42">
        <v>0.0</v>
      </c>
      <c r="E23" s="42">
        <f t="shared" si="2"/>
        <v>0.125</v>
      </c>
      <c r="F23" s="43">
        <f t="shared" si="3"/>
        <v>0</v>
      </c>
      <c r="G23" s="44">
        <f t="shared" si="4"/>
        <v>0.0625</v>
      </c>
      <c r="H23" s="45">
        <v>0.0859</v>
      </c>
      <c r="I23" s="42">
        <v>926.0</v>
      </c>
      <c r="J23" s="42">
        <v>26876.0</v>
      </c>
      <c r="K23" s="42">
        <v>2.8499999999999943</v>
      </c>
      <c r="L23" s="46">
        <f t="shared" ref="L23:O23" si="30">(H23-MIN(H$2:H$76))/(MAX(H$2:H$76)-MIN(H$2:H$76))</f>
        <v>0.2972151899</v>
      </c>
      <c r="M23" s="46">
        <f t="shared" si="30"/>
        <v>0.1019414431</v>
      </c>
      <c r="N23" s="46">
        <f t="shared" si="30"/>
        <v>0.0517272699</v>
      </c>
      <c r="O23" s="46">
        <f t="shared" si="30"/>
        <v>0.05866444768</v>
      </c>
      <c r="P23" s="47">
        <f t="shared" si="6"/>
        <v>0.1273870876</v>
      </c>
      <c r="Q23" s="48">
        <v>44.0</v>
      </c>
      <c r="R23" s="33">
        <v>100.0</v>
      </c>
      <c r="S23" s="49">
        <v>0.9848</v>
      </c>
      <c r="T23" s="35">
        <f t="shared" si="7"/>
        <v>0.1518987342</v>
      </c>
      <c r="U23" s="50">
        <v>1.0</v>
      </c>
      <c r="V23" s="35">
        <f t="shared" si="8"/>
        <v>0.9637231504</v>
      </c>
      <c r="W23" s="51">
        <f t="shared" si="9"/>
        <v>0.7052072948</v>
      </c>
      <c r="X23" s="52">
        <f t="shared" si="10"/>
        <v>-0.5153202072</v>
      </c>
      <c r="Y23" s="39" t="str">
        <f t="shared" si="11"/>
        <v>Rendah</v>
      </c>
    </row>
    <row r="24" ht="14.25" customHeight="1">
      <c r="A24" s="40" t="s">
        <v>28</v>
      </c>
      <c r="B24" s="40" t="s">
        <v>57</v>
      </c>
      <c r="C24" s="41">
        <v>1.0</v>
      </c>
      <c r="D24" s="42">
        <v>0.0</v>
      </c>
      <c r="E24" s="42">
        <f t="shared" si="2"/>
        <v>0.125</v>
      </c>
      <c r="F24" s="43">
        <f t="shared" si="3"/>
        <v>0</v>
      </c>
      <c r="G24" s="44">
        <f t="shared" si="4"/>
        <v>0.0625</v>
      </c>
      <c r="H24" s="45">
        <v>0.0901</v>
      </c>
      <c r="I24" s="42">
        <v>1490.0</v>
      </c>
      <c r="J24" s="42">
        <v>26950.0</v>
      </c>
      <c r="K24" s="42">
        <v>3.0799999999999983</v>
      </c>
      <c r="L24" s="46">
        <f t="shared" ref="L24:O24" si="31">(H24-MIN(H$2:H$76))/(MAX(H$2:H$76)-MIN(H$2:H$76))</f>
        <v>0.3184810127</v>
      </c>
      <c r="M24" s="46">
        <f t="shared" si="31"/>
        <v>0.1651032988</v>
      </c>
      <c r="N24" s="46">
        <f t="shared" si="31"/>
        <v>0.05191930411</v>
      </c>
      <c r="O24" s="46">
        <f t="shared" si="31"/>
        <v>0.06344913668</v>
      </c>
      <c r="P24" s="47">
        <f t="shared" si="6"/>
        <v>0.149738188</v>
      </c>
      <c r="Q24" s="48">
        <v>47.0</v>
      </c>
      <c r="R24" s="33">
        <v>100.0</v>
      </c>
      <c r="S24" s="49">
        <v>1.0</v>
      </c>
      <c r="T24" s="35">
        <f t="shared" si="7"/>
        <v>0.164556962</v>
      </c>
      <c r="U24" s="50">
        <v>1.0</v>
      </c>
      <c r="V24" s="35">
        <f t="shared" si="8"/>
        <v>1</v>
      </c>
      <c r="W24" s="51">
        <f t="shared" si="9"/>
        <v>0.7215189873</v>
      </c>
      <c r="X24" s="52">
        <f t="shared" si="10"/>
        <v>-0.5092807993</v>
      </c>
      <c r="Y24" s="39" t="str">
        <f t="shared" si="11"/>
        <v>Rendah</v>
      </c>
    </row>
    <row r="25" ht="14.25" customHeight="1">
      <c r="A25" s="40" t="s">
        <v>28</v>
      </c>
      <c r="B25" s="40" t="s">
        <v>58</v>
      </c>
      <c r="C25" s="41">
        <v>1.0</v>
      </c>
      <c r="D25" s="42">
        <v>0.0</v>
      </c>
      <c r="E25" s="42">
        <f t="shared" si="2"/>
        <v>0.125</v>
      </c>
      <c r="F25" s="43">
        <f t="shared" si="3"/>
        <v>0</v>
      </c>
      <c r="G25" s="44">
        <f t="shared" si="4"/>
        <v>0.0625</v>
      </c>
      <c r="H25" s="45">
        <v>0.1388</v>
      </c>
      <c r="I25" s="42">
        <v>86.0</v>
      </c>
      <c r="J25" s="42">
        <v>13400.0</v>
      </c>
      <c r="K25" s="42">
        <v>32.91</v>
      </c>
      <c r="L25" s="46">
        <f t="shared" ref="L25:O25" si="32">(H25-MIN(H$2:H$76))/(MAX(H$2:H$76)-MIN(H$2:H$76))</f>
        <v>0.5650632911</v>
      </c>
      <c r="M25" s="46">
        <f t="shared" si="32"/>
        <v>0.007870594349</v>
      </c>
      <c r="N25" s="46">
        <f t="shared" si="32"/>
        <v>0.01675628263</v>
      </c>
      <c r="O25" s="46">
        <f t="shared" si="32"/>
        <v>0.6840024964</v>
      </c>
      <c r="P25" s="47">
        <f t="shared" si="6"/>
        <v>0.3184231661</v>
      </c>
      <c r="Q25" s="48">
        <v>14.0</v>
      </c>
      <c r="R25" s="33">
        <v>100.0</v>
      </c>
      <c r="S25" s="49">
        <v>0.8537</v>
      </c>
      <c r="T25" s="35">
        <f t="shared" si="7"/>
        <v>0.0253164557</v>
      </c>
      <c r="U25" s="50">
        <v>1.0</v>
      </c>
      <c r="V25" s="35">
        <f t="shared" si="8"/>
        <v>0.6508353222</v>
      </c>
      <c r="W25" s="51">
        <f t="shared" si="9"/>
        <v>0.5587172593</v>
      </c>
      <c r="X25" s="52">
        <f t="shared" si="10"/>
        <v>-0.1777940932</v>
      </c>
      <c r="Y25" s="39" t="str">
        <f t="shared" si="11"/>
        <v>Tinggi</v>
      </c>
    </row>
    <row r="26" ht="14.25" customHeight="1">
      <c r="A26" s="40" t="s">
        <v>59</v>
      </c>
      <c r="B26" s="40" t="s">
        <v>60</v>
      </c>
      <c r="C26" s="41">
        <v>2.0</v>
      </c>
      <c r="D26" s="42">
        <v>0.0</v>
      </c>
      <c r="E26" s="42">
        <f t="shared" si="2"/>
        <v>0.25</v>
      </c>
      <c r="F26" s="43">
        <f t="shared" si="3"/>
        <v>0</v>
      </c>
      <c r="G26" s="44">
        <f t="shared" si="4"/>
        <v>0.125</v>
      </c>
      <c r="H26" s="45">
        <v>0.1451</v>
      </c>
      <c r="I26" s="42">
        <v>174.55</v>
      </c>
      <c r="J26" s="42">
        <v>19986.0</v>
      </c>
      <c r="K26" s="42">
        <v>48.1</v>
      </c>
      <c r="L26" s="46">
        <f t="shared" ref="L26:O26" si="33">(H26-MIN(H$2:H$76))/(MAX(H$2:H$76)-MIN(H$2:H$76))</f>
        <v>0.5969620253</v>
      </c>
      <c r="M26" s="46">
        <f t="shared" si="33"/>
        <v>0.01778722966</v>
      </c>
      <c r="N26" s="46">
        <f t="shared" si="33"/>
        <v>0.03384732761</v>
      </c>
      <c r="O26" s="46">
        <f t="shared" si="33"/>
        <v>1</v>
      </c>
      <c r="P26" s="47">
        <f t="shared" si="6"/>
        <v>0.4121491456</v>
      </c>
      <c r="Q26" s="48">
        <v>14.0</v>
      </c>
      <c r="R26" s="33">
        <v>93.68</v>
      </c>
      <c r="S26" s="49">
        <v>0.7765</v>
      </c>
      <c r="T26" s="35">
        <f t="shared" si="7"/>
        <v>0.0253164557</v>
      </c>
      <c r="U26" s="50">
        <v>0.6506</v>
      </c>
      <c r="V26" s="35">
        <f t="shared" si="8"/>
        <v>0.4665871122</v>
      </c>
      <c r="W26" s="51">
        <f t="shared" si="9"/>
        <v>0.3808345226</v>
      </c>
      <c r="X26" s="52">
        <f t="shared" si="10"/>
        <v>0.156314623</v>
      </c>
      <c r="Y26" s="39" t="str">
        <f t="shared" si="11"/>
        <v>Sangat Tinggi</v>
      </c>
    </row>
    <row r="27" ht="14.25" customHeight="1">
      <c r="A27" s="40" t="s">
        <v>59</v>
      </c>
      <c r="B27" s="40" t="s">
        <v>61</v>
      </c>
      <c r="C27" s="41">
        <v>3.0</v>
      </c>
      <c r="D27" s="42">
        <v>1.0</v>
      </c>
      <c r="E27" s="42">
        <f t="shared" si="2"/>
        <v>0.375</v>
      </c>
      <c r="F27" s="43">
        <f t="shared" si="3"/>
        <v>1</v>
      </c>
      <c r="G27" s="44">
        <f t="shared" si="4"/>
        <v>0.6875</v>
      </c>
      <c r="H27" s="45">
        <v>0.0791</v>
      </c>
      <c r="I27" s="42">
        <v>78.44</v>
      </c>
      <c r="J27" s="42">
        <v>77801.0</v>
      </c>
      <c r="K27" s="42">
        <v>18.569999999999993</v>
      </c>
      <c r="L27" s="46">
        <f t="shared" ref="L27:O27" si="34">(H27-MIN(H$2:H$76))/(MAX(H$2:H$76)-MIN(H$2:H$76))</f>
        <v>0.2627848101</v>
      </c>
      <c r="M27" s="46">
        <f t="shared" si="34"/>
        <v>0.007023956709</v>
      </c>
      <c r="N27" s="46">
        <f t="shared" si="34"/>
        <v>0.1838805443</v>
      </c>
      <c r="O27" s="46">
        <f t="shared" si="34"/>
        <v>0.385687539</v>
      </c>
      <c r="P27" s="47">
        <f t="shared" si="6"/>
        <v>0.2098442125</v>
      </c>
      <c r="Q27" s="48">
        <v>30.0</v>
      </c>
      <c r="R27" s="33">
        <v>98.6</v>
      </c>
      <c r="S27" s="49">
        <v>0.8796</v>
      </c>
      <c r="T27" s="35">
        <f t="shared" si="7"/>
        <v>0.09282700422</v>
      </c>
      <c r="U27" s="50">
        <v>0.9226</v>
      </c>
      <c r="V27" s="35">
        <f t="shared" si="8"/>
        <v>0.7126491647</v>
      </c>
      <c r="W27" s="51">
        <f t="shared" si="9"/>
        <v>0.5760253896</v>
      </c>
      <c r="X27" s="52">
        <f t="shared" si="10"/>
        <v>0.3213188229</v>
      </c>
      <c r="Y27" s="39" t="str">
        <f t="shared" si="11"/>
        <v>Sangat Tinggi</v>
      </c>
    </row>
    <row r="28" ht="14.25" customHeight="1">
      <c r="A28" s="40" t="s">
        <v>59</v>
      </c>
      <c r="B28" s="40" t="s">
        <v>62</v>
      </c>
      <c r="C28" s="41">
        <v>2.0</v>
      </c>
      <c r="D28" s="42">
        <v>1.0</v>
      </c>
      <c r="E28" s="42">
        <f t="shared" si="2"/>
        <v>0.25</v>
      </c>
      <c r="F28" s="43">
        <f t="shared" si="3"/>
        <v>1</v>
      </c>
      <c r="G28" s="44">
        <f t="shared" si="4"/>
        <v>0.625</v>
      </c>
      <c r="H28" s="45">
        <v>0.0616</v>
      </c>
      <c r="I28" s="42">
        <v>76.25</v>
      </c>
      <c r="J28" s="42">
        <v>47566.0</v>
      </c>
      <c r="K28" s="42">
        <v>24.989999999999995</v>
      </c>
      <c r="L28" s="46">
        <f t="shared" ref="L28:O28" si="35">(H28-MIN(H$2:H$76))/(MAX(H$2:H$76)-MIN(H$2:H$76))</f>
        <v>0.1741772152</v>
      </c>
      <c r="M28" s="46">
        <f t="shared" si="35"/>
        <v>0.006778700568</v>
      </c>
      <c r="N28" s="46">
        <f t="shared" si="35"/>
        <v>0.1054189979</v>
      </c>
      <c r="O28" s="46">
        <f t="shared" si="35"/>
        <v>0.519242771</v>
      </c>
      <c r="P28" s="47">
        <f t="shared" si="6"/>
        <v>0.2014044212</v>
      </c>
      <c r="Q28" s="48">
        <v>20.0</v>
      </c>
      <c r="R28" s="33">
        <v>99.42</v>
      </c>
      <c r="S28" s="49">
        <v>0.7944</v>
      </c>
      <c r="T28" s="35">
        <f t="shared" si="7"/>
        <v>0.05063291139</v>
      </c>
      <c r="U28" s="50">
        <v>0.9679</v>
      </c>
      <c r="V28" s="35">
        <f t="shared" si="8"/>
        <v>0.5093078759</v>
      </c>
      <c r="W28" s="51">
        <f t="shared" si="9"/>
        <v>0.5092802624</v>
      </c>
      <c r="X28" s="52">
        <f t="shared" si="10"/>
        <v>0.3171241587</v>
      </c>
      <c r="Y28" s="39" t="str">
        <f t="shared" si="11"/>
        <v>Sangat Tinggi</v>
      </c>
    </row>
    <row r="29" ht="14.25" customHeight="1">
      <c r="A29" s="40" t="s">
        <v>59</v>
      </c>
      <c r="B29" s="40" t="s">
        <v>63</v>
      </c>
      <c r="C29" s="41">
        <v>4.0</v>
      </c>
      <c r="D29" s="42">
        <v>0.0</v>
      </c>
      <c r="E29" s="42">
        <f t="shared" si="2"/>
        <v>0.5</v>
      </c>
      <c r="F29" s="43">
        <f t="shared" si="3"/>
        <v>0</v>
      </c>
      <c r="G29" s="44">
        <f t="shared" si="4"/>
        <v>0.25</v>
      </c>
      <c r="H29" s="45">
        <v>0.1103</v>
      </c>
      <c r="I29" s="42">
        <v>174.59</v>
      </c>
      <c r="J29" s="42">
        <v>52497.0</v>
      </c>
      <c r="K29" s="42">
        <v>13.799999999999997</v>
      </c>
      <c r="L29" s="46">
        <f t="shared" ref="L29:O29" si="36">(H29-MIN(H$2:H$76))/(MAX(H$2:H$76)-MIN(H$2:H$76))</f>
        <v>0.4207594937</v>
      </c>
      <c r="M29" s="46">
        <f t="shared" si="36"/>
        <v>0.01779170922</v>
      </c>
      <c r="N29" s="46">
        <f t="shared" si="36"/>
        <v>0.1182152236</v>
      </c>
      <c r="O29" s="46">
        <f t="shared" si="36"/>
        <v>0.2864572498</v>
      </c>
      <c r="P29" s="47">
        <f t="shared" si="6"/>
        <v>0.2108059191</v>
      </c>
      <c r="Q29" s="48">
        <v>26.0</v>
      </c>
      <c r="R29" s="33">
        <v>99.85</v>
      </c>
      <c r="S29" s="49">
        <v>0.8558</v>
      </c>
      <c r="T29" s="35">
        <f t="shared" si="7"/>
        <v>0.07594936709</v>
      </c>
      <c r="U29" s="50">
        <v>0.9917</v>
      </c>
      <c r="V29" s="35">
        <f t="shared" si="8"/>
        <v>0.6558472554</v>
      </c>
      <c r="W29" s="51">
        <f t="shared" si="9"/>
        <v>0.5744988742</v>
      </c>
      <c r="X29" s="52">
        <f t="shared" si="10"/>
        <v>-0.1136929551</v>
      </c>
      <c r="Y29" s="39" t="str">
        <f t="shared" si="11"/>
        <v>Tinggi</v>
      </c>
    </row>
    <row r="30" ht="14.25" customHeight="1">
      <c r="A30" s="40" t="s">
        <v>59</v>
      </c>
      <c r="B30" s="40" t="s">
        <v>64</v>
      </c>
      <c r="C30" s="41">
        <v>1.0</v>
      </c>
      <c r="D30" s="42">
        <v>0.0</v>
      </c>
      <c r="E30" s="42">
        <f t="shared" si="2"/>
        <v>0.125</v>
      </c>
      <c r="F30" s="43">
        <f t="shared" si="3"/>
        <v>0</v>
      </c>
      <c r="G30" s="44">
        <f t="shared" si="4"/>
        <v>0.0625</v>
      </c>
      <c r="H30" s="45">
        <v>0.0747</v>
      </c>
      <c r="I30" s="42">
        <v>84.93</v>
      </c>
      <c r="J30" s="42">
        <v>58326.0</v>
      </c>
      <c r="K30" s="42">
        <v>9.769999999999996</v>
      </c>
      <c r="L30" s="46">
        <f t="shared" ref="L30:O30" si="37">(H30-MIN(H$2:H$76))/(MAX(H$2:H$76)-MIN(H$2:H$76))</f>
        <v>0.2405063291</v>
      </c>
      <c r="M30" s="46">
        <f t="shared" si="37"/>
        <v>0.007750766005</v>
      </c>
      <c r="N30" s="46">
        <f t="shared" si="37"/>
        <v>0.1333418105</v>
      </c>
      <c r="O30" s="46">
        <f t="shared" si="37"/>
        <v>0.2026211774</v>
      </c>
      <c r="P30" s="47">
        <f t="shared" si="6"/>
        <v>0.1460550208</v>
      </c>
      <c r="Q30" s="48">
        <v>23.0</v>
      </c>
      <c r="R30" s="33">
        <v>99.95</v>
      </c>
      <c r="S30" s="49">
        <v>0.9365</v>
      </c>
      <c r="T30" s="35">
        <f t="shared" si="7"/>
        <v>0.06329113924</v>
      </c>
      <c r="U30" s="50">
        <v>0.9972</v>
      </c>
      <c r="V30" s="35">
        <f t="shared" si="8"/>
        <v>0.8484486874</v>
      </c>
      <c r="W30" s="51">
        <f t="shared" si="9"/>
        <v>0.6363132755</v>
      </c>
      <c r="X30" s="52">
        <f t="shared" si="10"/>
        <v>-0.4277582548</v>
      </c>
      <c r="Y30" s="39" t="str">
        <f t="shared" si="11"/>
        <v>Sedang</v>
      </c>
    </row>
    <row r="31" ht="14.25" customHeight="1">
      <c r="A31" s="40" t="s">
        <v>59</v>
      </c>
      <c r="B31" s="40" t="s">
        <v>65</v>
      </c>
      <c r="C31" s="41">
        <v>0.0</v>
      </c>
      <c r="D31" s="42">
        <v>1.0</v>
      </c>
      <c r="E31" s="42">
        <f t="shared" si="2"/>
        <v>0</v>
      </c>
      <c r="F31" s="43">
        <f t="shared" si="3"/>
        <v>1</v>
      </c>
      <c r="G31" s="44">
        <f t="shared" si="4"/>
        <v>0.5</v>
      </c>
      <c r="H31" s="45">
        <v>0.0721</v>
      </c>
      <c r="I31" s="42">
        <v>95.82</v>
      </c>
      <c r="J31" s="42">
        <v>39789.0</v>
      </c>
      <c r="K31" s="42">
        <v>3.6400000000000006</v>
      </c>
      <c r="L31" s="46">
        <f t="shared" ref="L31:O31" si="38">(H31-MIN(H$2:H$76))/(MAX(H$2:H$76)-MIN(H$2:H$76))</f>
        <v>0.2273417722</v>
      </c>
      <c r="M31" s="46">
        <f t="shared" si="38"/>
        <v>0.008970327367</v>
      </c>
      <c r="N31" s="46">
        <f t="shared" si="38"/>
        <v>0.08523724011</v>
      </c>
      <c r="O31" s="46">
        <f t="shared" si="38"/>
        <v>0.07509881423</v>
      </c>
      <c r="P31" s="47">
        <f t="shared" si="6"/>
        <v>0.09916203846</v>
      </c>
      <c r="Q31" s="48">
        <v>21.0</v>
      </c>
      <c r="R31" s="33">
        <v>99.77</v>
      </c>
      <c r="S31" s="49">
        <v>0.8443</v>
      </c>
      <c r="T31" s="35">
        <f t="shared" si="7"/>
        <v>0.05485232068</v>
      </c>
      <c r="U31" s="50">
        <v>0.9873</v>
      </c>
      <c r="V31" s="35">
        <f t="shared" si="8"/>
        <v>0.6284009547</v>
      </c>
      <c r="W31" s="51">
        <f t="shared" si="9"/>
        <v>0.5568510918</v>
      </c>
      <c r="X31" s="52">
        <f t="shared" si="10"/>
        <v>0.04231094669</v>
      </c>
      <c r="Y31" s="39" t="str">
        <f t="shared" si="11"/>
        <v>Tinggi</v>
      </c>
    </row>
    <row r="32" ht="14.25" customHeight="1">
      <c r="A32" s="40" t="s">
        <v>59</v>
      </c>
      <c r="B32" s="40" t="s">
        <v>66</v>
      </c>
      <c r="C32" s="41">
        <v>1.0</v>
      </c>
      <c r="D32" s="42">
        <v>0.0</v>
      </c>
      <c r="E32" s="42">
        <f t="shared" si="2"/>
        <v>0.125</v>
      </c>
      <c r="F32" s="43">
        <f t="shared" si="3"/>
        <v>0</v>
      </c>
      <c r="G32" s="44">
        <f t="shared" si="4"/>
        <v>0.0625</v>
      </c>
      <c r="H32" s="45">
        <v>0.0737</v>
      </c>
      <c r="I32" s="42">
        <v>190.1</v>
      </c>
      <c r="J32" s="42">
        <v>72763.0</v>
      </c>
      <c r="K32" s="42">
        <v>7.3799999999999955</v>
      </c>
      <c r="L32" s="46">
        <f t="shared" ref="L32:O32" si="39">(H32-MIN(H$2:H$76))/(MAX(H$2:H$76)-MIN(H$2:H$76))</f>
        <v>0.235443038</v>
      </c>
      <c r="M32" s="46">
        <f t="shared" si="39"/>
        <v>0.01952866025</v>
      </c>
      <c r="N32" s="46">
        <f t="shared" si="39"/>
        <v>0.1708066475</v>
      </c>
      <c r="O32" s="46">
        <f t="shared" si="39"/>
        <v>0.1529020179</v>
      </c>
      <c r="P32" s="47">
        <f t="shared" si="6"/>
        <v>0.1446700909</v>
      </c>
      <c r="Q32" s="48">
        <v>20.0</v>
      </c>
      <c r="R32" s="33">
        <v>99.99</v>
      </c>
      <c r="S32" s="49">
        <v>0.9796</v>
      </c>
      <c r="T32" s="35">
        <f t="shared" si="7"/>
        <v>0.05063291139</v>
      </c>
      <c r="U32" s="50">
        <v>0.9994</v>
      </c>
      <c r="V32" s="35">
        <f t="shared" si="8"/>
        <v>0.9513126492</v>
      </c>
      <c r="W32" s="51">
        <f t="shared" si="9"/>
        <v>0.6671151869</v>
      </c>
      <c r="X32" s="52">
        <f t="shared" si="10"/>
        <v>-0.4599450959</v>
      </c>
      <c r="Y32" s="39" t="str">
        <f t="shared" si="11"/>
        <v>Sedang</v>
      </c>
    </row>
    <row r="33" ht="14.25" customHeight="1">
      <c r="A33" s="40" t="s">
        <v>59</v>
      </c>
      <c r="B33" s="40" t="s">
        <v>67</v>
      </c>
      <c r="C33" s="41">
        <v>4.0</v>
      </c>
      <c r="D33" s="42">
        <v>1.0</v>
      </c>
      <c r="E33" s="42">
        <f t="shared" si="2"/>
        <v>0.5</v>
      </c>
      <c r="F33" s="43">
        <f t="shared" si="3"/>
        <v>1</v>
      </c>
      <c r="G33" s="44">
        <f t="shared" si="4"/>
        <v>0.75</v>
      </c>
      <c r="H33" s="45">
        <v>0.0718</v>
      </c>
      <c r="I33" s="42">
        <v>220.61</v>
      </c>
      <c r="J33" s="42">
        <v>122983.0</v>
      </c>
      <c r="K33" s="42">
        <v>4.069999999999993</v>
      </c>
      <c r="L33" s="46">
        <f t="shared" ref="L33:O33" si="40">(H33-MIN(H$2:H$76))/(MAX(H$2:H$76)-MIN(H$2:H$76))</f>
        <v>0.2258227848</v>
      </c>
      <c r="M33" s="46">
        <f t="shared" si="40"/>
        <v>0.02294544787</v>
      </c>
      <c r="N33" s="46">
        <f t="shared" si="40"/>
        <v>0.3011304068</v>
      </c>
      <c r="O33" s="46">
        <f t="shared" si="40"/>
        <v>0.08404410235</v>
      </c>
      <c r="P33" s="47">
        <f t="shared" si="6"/>
        <v>0.1584856855</v>
      </c>
      <c r="Q33" s="48">
        <v>40.0</v>
      </c>
      <c r="R33" s="33">
        <v>99.75</v>
      </c>
      <c r="S33" s="49">
        <v>0.9804</v>
      </c>
      <c r="T33" s="35">
        <f t="shared" si="7"/>
        <v>0.135021097</v>
      </c>
      <c r="U33" s="50">
        <v>0.9862</v>
      </c>
      <c r="V33" s="35">
        <f t="shared" si="8"/>
        <v>0.953221957</v>
      </c>
      <c r="W33" s="51">
        <f t="shared" si="9"/>
        <v>0.691481018</v>
      </c>
      <c r="X33" s="52">
        <f t="shared" si="10"/>
        <v>0.2170046674</v>
      </c>
      <c r="Y33" s="39" t="str">
        <f t="shared" si="11"/>
        <v>Sangat Tinggi</v>
      </c>
    </row>
    <row r="34" ht="14.25" customHeight="1">
      <c r="A34" s="40" t="s">
        <v>59</v>
      </c>
      <c r="B34" s="40" t="s">
        <v>68</v>
      </c>
      <c r="C34" s="41">
        <v>5.0</v>
      </c>
      <c r="D34" s="42">
        <v>0.0</v>
      </c>
      <c r="E34" s="42">
        <f t="shared" si="2"/>
        <v>0.625</v>
      </c>
      <c r="F34" s="43">
        <f t="shared" si="3"/>
        <v>0</v>
      </c>
      <c r="G34" s="44">
        <f t="shared" si="4"/>
        <v>0.3125</v>
      </c>
      <c r="H34" s="45">
        <v>0.0691</v>
      </c>
      <c r="I34" s="42">
        <v>231.99</v>
      </c>
      <c r="J34" s="42">
        <v>159673.0</v>
      </c>
      <c r="K34" s="42">
        <v>0.3499999999999943</v>
      </c>
      <c r="L34" s="46">
        <f t="shared" ref="L34:O34" si="41">(H34-MIN(H$2:H$76))/(MAX(H$2:H$76)-MIN(H$2:H$76))</f>
        <v>0.2121518987</v>
      </c>
      <c r="M34" s="46">
        <f t="shared" si="41"/>
        <v>0.02421988389</v>
      </c>
      <c r="N34" s="46">
        <f t="shared" si="41"/>
        <v>0.3963430458</v>
      </c>
      <c r="O34" s="46">
        <f t="shared" si="41"/>
        <v>0.006656958602</v>
      </c>
      <c r="P34" s="47">
        <f t="shared" si="6"/>
        <v>0.1598429467</v>
      </c>
      <c r="Q34" s="48">
        <v>52.0</v>
      </c>
      <c r="R34" s="33">
        <v>99.99</v>
      </c>
      <c r="S34" s="49">
        <v>0.9274</v>
      </c>
      <c r="T34" s="35">
        <f t="shared" si="7"/>
        <v>0.1856540084</v>
      </c>
      <c r="U34" s="50">
        <v>0.9994</v>
      </c>
      <c r="V34" s="35">
        <f t="shared" si="8"/>
        <v>0.8267303103</v>
      </c>
      <c r="W34" s="51">
        <f t="shared" si="9"/>
        <v>0.6705947729</v>
      </c>
      <c r="X34" s="52">
        <f t="shared" si="10"/>
        <v>-0.1982518262</v>
      </c>
      <c r="Y34" s="39" t="str">
        <f t="shared" si="11"/>
        <v>Tinggi</v>
      </c>
    </row>
    <row r="35" ht="14.25" customHeight="1">
      <c r="A35" s="40" t="s">
        <v>59</v>
      </c>
      <c r="B35" s="40" t="s">
        <v>69</v>
      </c>
      <c r="C35" s="41">
        <v>1.0</v>
      </c>
      <c r="D35" s="42">
        <v>0.0</v>
      </c>
      <c r="E35" s="42">
        <f t="shared" si="2"/>
        <v>0.125</v>
      </c>
      <c r="F35" s="43">
        <f t="shared" si="3"/>
        <v>0</v>
      </c>
      <c r="G35" s="44">
        <f t="shared" si="4"/>
        <v>0.0625</v>
      </c>
      <c r="H35" s="45">
        <v>0.0698</v>
      </c>
      <c r="I35" s="42">
        <v>161.45</v>
      </c>
      <c r="J35" s="42">
        <v>51275.0</v>
      </c>
      <c r="K35" s="42">
        <v>2.9399999999999977</v>
      </c>
      <c r="L35" s="46">
        <f t="shared" ref="L35:O35" si="42">(H35-MIN(H$2:H$76))/(MAX(H$2:H$76)-MIN(H$2:H$76))</f>
        <v>0.2156962025</v>
      </c>
      <c r="M35" s="46">
        <f t="shared" si="42"/>
        <v>0.01632017237</v>
      </c>
      <c r="N35" s="46">
        <f t="shared" si="42"/>
        <v>0.1150440641</v>
      </c>
      <c r="O35" s="46">
        <f t="shared" si="42"/>
        <v>0.06053671729</v>
      </c>
      <c r="P35" s="47">
        <f t="shared" si="6"/>
        <v>0.1018992891</v>
      </c>
      <c r="Q35" s="48">
        <v>20.0</v>
      </c>
      <c r="R35" s="33">
        <v>99.72</v>
      </c>
      <c r="S35" s="49">
        <v>0.9349</v>
      </c>
      <c r="T35" s="35">
        <f t="shared" si="7"/>
        <v>0.05063291139</v>
      </c>
      <c r="U35" s="50">
        <v>0.9845</v>
      </c>
      <c r="V35" s="35">
        <f t="shared" si="8"/>
        <v>0.8446300716</v>
      </c>
      <c r="W35" s="51">
        <f t="shared" si="9"/>
        <v>0.626587661</v>
      </c>
      <c r="X35" s="52">
        <f t="shared" si="10"/>
        <v>-0.4621883719</v>
      </c>
      <c r="Y35" s="39" t="str">
        <f t="shared" si="11"/>
        <v>Sedang</v>
      </c>
    </row>
    <row r="36" ht="14.25" customHeight="1">
      <c r="A36" s="40" t="s">
        <v>59</v>
      </c>
      <c r="B36" s="40" t="s">
        <v>70</v>
      </c>
      <c r="C36" s="41">
        <v>0.0</v>
      </c>
      <c r="D36" s="42">
        <v>0.0</v>
      </c>
      <c r="E36" s="42">
        <f t="shared" si="2"/>
        <v>0</v>
      </c>
      <c r="F36" s="43">
        <f t="shared" si="3"/>
        <v>0</v>
      </c>
      <c r="G36" s="44">
        <f t="shared" si="4"/>
        <v>0</v>
      </c>
      <c r="H36" s="45">
        <v>0.0666</v>
      </c>
      <c r="I36" s="42">
        <v>195.77</v>
      </c>
      <c r="J36" s="42">
        <v>67703.0</v>
      </c>
      <c r="K36" s="42">
        <v>2.430000000000007</v>
      </c>
      <c r="L36" s="46">
        <f t="shared" ref="L36:O36" si="43">(H36-MIN(H$2:H$76))/(MAX(H$2:H$76)-MIN(H$2:H$76))</f>
        <v>0.1994936709</v>
      </c>
      <c r="M36" s="46">
        <f t="shared" si="43"/>
        <v>0.02016363848</v>
      </c>
      <c r="N36" s="46">
        <f t="shared" si="43"/>
        <v>0.1576756594</v>
      </c>
      <c r="O36" s="46">
        <f t="shared" si="43"/>
        <v>0.04992718952</v>
      </c>
      <c r="P36" s="47">
        <f t="shared" si="6"/>
        <v>0.1068150396</v>
      </c>
      <c r="Q36" s="48">
        <v>24.0</v>
      </c>
      <c r="R36" s="33">
        <v>100.0</v>
      </c>
      <c r="S36" s="49">
        <v>0.9257</v>
      </c>
      <c r="T36" s="35">
        <f t="shared" si="7"/>
        <v>0.06751054852</v>
      </c>
      <c r="U36" s="50">
        <v>1.0</v>
      </c>
      <c r="V36" s="35">
        <f t="shared" si="8"/>
        <v>0.822673031</v>
      </c>
      <c r="W36" s="51">
        <f t="shared" si="9"/>
        <v>0.6300611932</v>
      </c>
      <c r="X36" s="52">
        <f t="shared" si="10"/>
        <v>-0.5232461536</v>
      </c>
      <c r="Y36" s="39" t="str">
        <f t="shared" si="11"/>
        <v>Rendah</v>
      </c>
    </row>
    <row r="37" ht="14.25" customHeight="1">
      <c r="A37" s="40" t="s">
        <v>59</v>
      </c>
      <c r="B37" s="40" t="s">
        <v>71</v>
      </c>
      <c r="C37" s="41">
        <v>7.0</v>
      </c>
      <c r="D37" s="42">
        <v>0.0</v>
      </c>
      <c r="E37" s="42">
        <f t="shared" si="2"/>
        <v>0.875</v>
      </c>
      <c r="F37" s="43">
        <f t="shared" si="3"/>
        <v>0</v>
      </c>
      <c r="G37" s="44">
        <f t="shared" si="4"/>
        <v>0.4375</v>
      </c>
      <c r="H37" s="45">
        <v>0.0311</v>
      </c>
      <c r="I37" s="42">
        <v>805.06</v>
      </c>
      <c r="J37" s="42">
        <v>287262.0</v>
      </c>
      <c r="K37" s="42">
        <v>3.530000000000001</v>
      </c>
      <c r="L37" s="46">
        <f t="shared" ref="L37:O37" si="44">(H37-MIN(H$2:H$76))/(MAX(H$2:H$76)-MIN(H$2:H$76))</f>
        <v>0.01974683544</v>
      </c>
      <c r="M37" s="46">
        <f t="shared" si="44"/>
        <v>0.08839748069</v>
      </c>
      <c r="N37" s="46">
        <f t="shared" si="44"/>
        <v>0.7274437651</v>
      </c>
      <c r="O37" s="46">
        <f t="shared" si="44"/>
        <v>0.07281048471</v>
      </c>
      <c r="P37" s="47">
        <f t="shared" si="6"/>
        <v>0.2270996415</v>
      </c>
      <c r="Q37" s="48">
        <v>60.0</v>
      </c>
      <c r="R37" s="33">
        <v>99.43</v>
      </c>
      <c r="S37" s="49">
        <v>0.8629</v>
      </c>
      <c r="T37" s="35">
        <f t="shared" si="7"/>
        <v>0.2194092827</v>
      </c>
      <c r="U37" s="50">
        <v>0.9685</v>
      </c>
      <c r="V37" s="35">
        <f t="shared" si="8"/>
        <v>0.6727923628</v>
      </c>
      <c r="W37" s="51">
        <f t="shared" si="9"/>
        <v>0.6202338818</v>
      </c>
      <c r="X37" s="52">
        <f t="shared" si="10"/>
        <v>0.04436575967</v>
      </c>
      <c r="Y37" s="39" t="str">
        <f t="shared" si="11"/>
        <v>Tinggi</v>
      </c>
    </row>
    <row r="38" ht="14.25" customHeight="1">
      <c r="A38" s="40" t="s">
        <v>59</v>
      </c>
      <c r="B38" s="40" t="s">
        <v>72</v>
      </c>
      <c r="C38" s="41">
        <v>3.0</v>
      </c>
      <c r="D38" s="42">
        <v>0.0</v>
      </c>
      <c r="E38" s="42">
        <f t="shared" si="2"/>
        <v>0.375</v>
      </c>
      <c r="F38" s="43">
        <f t="shared" si="3"/>
        <v>0</v>
      </c>
      <c r="G38" s="44">
        <f t="shared" si="4"/>
        <v>0.1875</v>
      </c>
      <c r="H38" s="45">
        <v>0.0842</v>
      </c>
      <c r="I38" s="42">
        <v>177.52</v>
      </c>
      <c r="J38" s="42">
        <v>166525.0</v>
      </c>
      <c r="K38" s="42">
        <v>5.609999999999999</v>
      </c>
      <c r="L38" s="46">
        <f t="shared" ref="L38:O38" si="45">(H38-MIN(H$2:H$76))/(MAX(H$2:H$76)-MIN(H$2:H$76))</f>
        <v>0.2886075949</v>
      </c>
      <c r="M38" s="46">
        <f t="shared" si="45"/>
        <v>0.0181198373</v>
      </c>
      <c r="N38" s="46">
        <f t="shared" si="45"/>
        <v>0.4141243759</v>
      </c>
      <c r="O38" s="46">
        <f t="shared" si="45"/>
        <v>0.1160807156</v>
      </c>
      <c r="P38" s="47">
        <f t="shared" si="6"/>
        <v>0.2092331309</v>
      </c>
      <c r="Q38" s="48">
        <v>39.0</v>
      </c>
      <c r="R38" s="33">
        <v>99.97</v>
      </c>
      <c r="S38" s="49">
        <v>0.9134</v>
      </c>
      <c r="T38" s="35">
        <f t="shared" si="7"/>
        <v>0.1308016878</v>
      </c>
      <c r="U38" s="50">
        <v>0.9983</v>
      </c>
      <c r="V38" s="35">
        <f t="shared" si="8"/>
        <v>0.7933174224</v>
      </c>
      <c r="W38" s="51">
        <f t="shared" si="9"/>
        <v>0.6408063701</v>
      </c>
      <c r="X38" s="52">
        <f t="shared" si="10"/>
        <v>-0.2440732391</v>
      </c>
      <c r="Y38" s="39" t="str">
        <f t="shared" si="11"/>
        <v>Sedang</v>
      </c>
    </row>
    <row r="39" ht="14.25" customHeight="1">
      <c r="A39" s="40" t="s">
        <v>59</v>
      </c>
      <c r="B39" s="40" t="s">
        <v>73</v>
      </c>
      <c r="C39" s="41">
        <v>3.0</v>
      </c>
      <c r="D39" s="42">
        <v>0.0</v>
      </c>
      <c r="E39" s="42">
        <f t="shared" si="2"/>
        <v>0.375</v>
      </c>
      <c r="F39" s="43">
        <f t="shared" si="3"/>
        <v>0</v>
      </c>
      <c r="G39" s="44">
        <f t="shared" si="4"/>
        <v>0.1875</v>
      </c>
      <c r="H39" s="45">
        <v>0.1616</v>
      </c>
      <c r="I39" s="42">
        <v>156.9</v>
      </c>
      <c r="J39" s="42">
        <v>44056.0</v>
      </c>
      <c r="K39" s="42">
        <v>26.75</v>
      </c>
      <c r="L39" s="46">
        <f t="shared" ref="L39:O39" si="46">(H39-MIN(H$2:H$76))/(MAX(H$2:H$76)-MIN(H$2:H$76))</f>
        <v>0.6805063291</v>
      </c>
      <c r="M39" s="46">
        <f t="shared" si="46"/>
        <v>0.01581062194</v>
      </c>
      <c r="N39" s="46">
        <f t="shared" si="46"/>
        <v>0.09631034805</v>
      </c>
      <c r="O39" s="46">
        <f t="shared" si="46"/>
        <v>0.5558560433</v>
      </c>
      <c r="P39" s="47">
        <f t="shared" si="6"/>
        <v>0.3371208356</v>
      </c>
      <c r="Q39" s="48">
        <v>39.0</v>
      </c>
      <c r="R39" s="33">
        <v>95.95</v>
      </c>
      <c r="S39" s="49">
        <v>0.846</v>
      </c>
      <c r="T39" s="35">
        <f t="shared" si="7"/>
        <v>0.1308016878</v>
      </c>
      <c r="U39" s="50">
        <v>0.7761</v>
      </c>
      <c r="V39" s="35">
        <f t="shared" si="8"/>
        <v>0.6324582339</v>
      </c>
      <c r="W39" s="51">
        <f t="shared" si="9"/>
        <v>0.5131199739</v>
      </c>
      <c r="X39" s="52">
        <f t="shared" si="10"/>
        <v>0.01150086171</v>
      </c>
      <c r="Y39" s="39" t="str">
        <f t="shared" si="11"/>
        <v>Tinggi</v>
      </c>
    </row>
    <row r="40" ht="14.25" customHeight="1">
      <c r="A40" s="40" t="s">
        <v>59</v>
      </c>
      <c r="B40" s="40" t="s">
        <v>74</v>
      </c>
      <c r="C40" s="41">
        <v>2.0</v>
      </c>
      <c r="D40" s="42">
        <v>1.0</v>
      </c>
      <c r="E40" s="42">
        <f t="shared" si="2"/>
        <v>0.25</v>
      </c>
      <c r="F40" s="43">
        <f t="shared" si="3"/>
        <v>1</v>
      </c>
      <c r="G40" s="44">
        <f t="shared" si="4"/>
        <v>0.625</v>
      </c>
      <c r="H40" s="45">
        <v>0.078</v>
      </c>
      <c r="I40" s="42">
        <v>89.07</v>
      </c>
      <c r="J40" s="42">
        <v>38887.0</v>
      </c>
      <c r="K40" s="42">
        <v>2.8900000000000006</v>
      </c>
      <c r="L40" s="46">
        <f t="shared" ref="L40:O40" si="47">(H40-MIN(H$2:H$76))/(MAX(H$2:H$76)-MIN(H$2:H$76))</f>
        <v>0.2572151899</v>
      </c>
      <c r="M40" s="46">
        <f t="shared" si="47"/>
        <v>0.008214400903</v>
      </c>
      <c r="N40" s="46">
        <f t="shared" si="47"/>
        <v>0.08289649875</v>
      </c>
      <c r="O40" s="46">
        <f t="shared" si="47"/>
        <v>0.05949656751</v>
      </c>
      <c r="P40" s="47">
        <f t="shared" si="6"/>
        <v>0.1019556643</v>
      </c>
      <c r="Q40" s="48">
        <v>13.0</v>
      </c>
      <c r="R40" s="33">
        <v>99.6</v>
      </c>
      <c r="S40" s="49">
        <v>0.8766</v>
      </c>
      <c r="T40" s="35">
        <f t="shared" si="7"/>
        <v>0.02109704641</v>
      </c>
      <c r="U40" s="50">
        <v>0.9779</v>
      </c>
      <c r="V40" s="35">
        <f t="shared" si="8"/>
        <v>0.7054892601</v>
      </c>
      <c r="W40" s="51">
        <f t="shared" si="9"/>
        <v>0.5681621022</v>
      </c>
      <c r="X40" s="52">
        <f t="shared" si="10"/>
        <v>0.1587935621</v>
      </c>
      <c r="Y40" s="39" t="str">
        <f t="shared" si="11"/>
        <v>Sangat Tinggi</v>
      </c>
    </row>
    <row r="41" ht="14.25" customHeight="1">
      <c r="A41" s="40" t="s">
        <v>59</v>
      </c>
      <c r="B41" s="40" t="s">
        <v>75</v>
      </c>
      <c r="C41" s="41">
        <v>1.0</v>
      </c>
      <c r="D41" s="42">
        <v>0.0</v>
      </c>
      <c r="E41" s="42">
        <f t="shared" si="2"/>
        <v>0.125</v>
      </c>
      <c r="F41" s="43">
        <f t="shared" si="3"/>
        <v>0</v>
      </c>
      <c r="G41" s="44">
        <f t="shared" si="4"/>
        <v>0.0625</v>
      </c>
      <c r="H41" s="45">
        <v>0.064</v>
      </c>
      <c r="I41" s="42">
        <v>41.92</v>
      </c>
      <c r="J41" s="42">
        <v>9691.0</v>
      </c>
      <c r="K41" s="42">
        <v>33.459999999999994</v>
      </c>
      <c r="L41" s="46">
        <f t="shared" ref="L41:O41" si="48">(H41-MIN(H$2:H$76))/(MAX(H$2:H$76)-MIN(H$2:H$76))</f>
        <v>0.1863291139</v>
      </c>
      <c r="M41" s="46">
        <f t="shared" si="48"/>
        <v>0.002934114569</v>
      </c>
      <c r="N41" s="46">
        <f t="shared" si="48"/>
        <v>0.007131216459</v>
      </c>
      <c r="O41" s="46">
        <f t="shared" si="48"/>
        <v>0.695444144</v>
      </c>
      <c r="P41" s="47">
        <f t="shared" si="6"/>
        <v>0.2229596472</v>
      </c>
      <c r="Q41" s="48">
        <v>9.0</v>
      </c>
      <c r="R41" s="33">
        <v>100.0</v>
      </c>
      <c r="S41" s="49">
        <v>0.8654</v>
      </c>
      <c r="T41" s="35">
        <f t="shared" si="7"/>
        <v>0.004219409283</v>
      </c>
      <c r="U41" s="50">
        <v>1.0</v>
      </c>
      <c r="V41" s="35">
        <f t="shared" si="8"/>
        <v>0.6787589499</v>
      </c>
      <c r="W41" s="51">
        <f t="shared" si="9"/>
        <v>0.5609927864</v>
      </c>
      <c r="X41" s="52">
        <f t="shared" si="10"/>
        <v>-0.2755331392</v>
      </c>
      <c r="Y41" s="39" t="str">
        <f t="shared" si="11"/>
        <v>Sedang</v>
      </c>
    </row>
    <row r="42" ht="14.25" customHeight="1">
      <c r="A42" s="40" t="s">
        <v>59</v>
      </c>
      <c r="B42" s="40" t="s">
        <v>76</v>
      </c>
      <c r="C42" s="41">
        <v>0.0</v>
      </c>
      <c r="D42" s="42">
        <v>0.0</v>
      </c>
      <c r="E42" s="42">
        <f t="shared" si="2"/>
        <v>0</v>
      </c>
      <c r="F42" s="43">
        <f t="shared" si="3"/>
        <v>0</v>
      </c>
      <c r="G42" s="44">
        <f t="shared" si="4"/>
        <v>0</v>
      </c>
      <c r="H42" s="45">
        <v>0.1079</v>
      </c>
      <c r="I42" s="42">
        <v>78.28</v>
      </c>
      <c r="J42" s="42">
        <v>26186.0</v>
      </c>
      <c r="K42" s="42">
        <v>16.92</v>
      </c>
      <c r="L42" s="46">
        <f t="shared" ref="L42:O42" si="49">(H42-MIN(H$2:H$76))/(MAX(H$2:H$76)-MIN(H$2:H$76))</f>
        <v>0.4086075949</v>
      </c>
      <c r="M42" s="46">
        <f t="shared" si="49"/>
        <v>0.007006038453</v>
      </c>
      <c r="N42" s="46">
        <f t="shared" si="49"/>
        <v>0.04993668061</v>
      </c>
      <c r="O42" s="46">
        <f t="shared" si="49"/>
        <v>0.3513625962</v>
      </c>
      <c r="P42" s="47">
        <f t="shared" si="6"/>
        <v>0.2042282276</v>
      </c>
      <c r="Q42" s="48">
        <v>13.0</v>
      </c>
      <c r="R42" s="33">
        <v>99.98</v>
      </c>
      <c r="S42" s="49">
        <v>1.0</v>
      </c>
      <c r="T42" s="35">
        <f t="shared" si="7"/>
        <v>0.02109704641</v>
      </c>
      <c r="U42" s="50">
        <v>0.9989</v>
      </c>
      <c r="V42" s="35">
        <f t="shared" si="8"/>
        <v>1</v>
      </c>
      <c r="W42" s="51">
        <f t="shared" si="9"/>
        <v>0.6733323488</v>
      </c>
      <c r="X42" s="52">
        <f t="shared" si="10"/>
        <v>-0.4691041213</v>
      </c>
      <c r="Y42" s="39" t="str">
        <f t="shared" si="11"/>
        <v>Sedang</v>
      </c>
    </row>
    <row r="43" ht="14.25" customHeight="1">
      <c r="A43" s="40" t="s">
        <v>59</v>
      </c>
      <c r="B43" s="40" t="s">
        <v>77</v>
      </c>
      <c r="C43" s="41">
        <v>8.0</v>
      </c>
      <c r="D43" s="42">
        <v>0.0</v>
      </c>
      <c r="E43" s="42">
        <f t="shared" si="2"/>
        <v>1</v>
      </c>
      <c r="F43" s="43">
        <f t="shared" si="3"/>
        <v>0</v>
      </c>
      <c r="G43" s="44">
        <f t="shared" si="4"/>
        <v>0.5</v>
      </c>
      <c r="H43" s="45">
        <v>0.0618</v>
      </c>
      <c r="I43" s="42">
        <v>359.16</v>
      </c>
      <c r="J43" s="42">
        <v>105754.0</v>
      </c>
      <c r="K43" s="42">
        <v>0.7000000000000028</v>
      </c>
      <c r="L43" s="46">
        <f t="shared" ref="L43:O43" si="50">(H43-MIN(H$2:H$76))/(MAX(H$2:H$76)-MIN(H$2:H$76))</f>
        <v>0.1751898734</v>
      </c>
      <c r="M43" s="46">
        <f t="shared" si="50"/>
        <v>0.03846153846</v>
      </c>
      <c r="N43" s="46">
        <f t="shared" si="50"/>
        <v>0.2564201709</v>
      </c>
      <c r="O43" s="46">
        <f t="shared" si="50"/>
        <v>0.01393800707</v>
      </c>
      <c r="P43" s="47">
        <f t="shared" si="6"/>
        <v>0.1210023975</v>
      </c>
      <c r="Q43" s="48">
        <v>26.0</v>
      </c>
      <c r="R43" s="33">
        <v>100.0</v>
      </c>
      <c r="S43" s="49">
        <v>0.9588</v>
      </c>
      <c r="T43" s="35">
        <f t="shared" si="7"/>
        <v>0.07594936709</v>
      </c>
      <c r="U43" s="50">
        <v>1.0</v>
      </c>
      <c r="V43" s="35">
        <f t="shared" si="8"/>
        <v>0.9016706444</v>
      </c>
      <c r="W43" s="51">
        <f t="shared" si="9"/>
        <v>0.6592066705</v>
      </c>
      <c r="X43" s="52">
        <f t="shared" si="10"/>
        <v>-0.03820427304</v>
      </c>
      <c r="Y43" s="39" t="str">
        <f t="shared" si="11"/>
        <v>Tinggi</v>
      </c>
    </row>
    <row r="44" ht="14.25" customHeight="1">
      <c r="A44" s="40" t="s">
        <v>59</v>
      </c>
      <c r="B44" s="40" t="s">
        <v>78</v>
      </c>
      <c r="C44" s="41">
        <v>6.0</v>
      </c>
      <c r="D44" s="42">
        <v>0.0</v>
      </c>
      <c r="E44" s="42">
        <f t="shared" si="2"/>
        <v>0.75</v>
      </c>
      <c r="F44" s="43">
        <f t="shared" si="3"/>
        <v>0</v>
      </c>
      <c r="G44" s="44">
        <f t="shared" si="4"/>
        <v>0.375</v>
      </c>
      <c r="H44" s="45">
        <v>0.101</v>
      </c>
      <c r="I44" s="42">
        <v>499.92</v>
      </c>
      <c r="J44" s="42">
        <v>74299.0</v>
      </c>
      <c r="K44" s="42">
        <v>1.8799999999999955</v>
      </c>
      <c r="L44" s="46">
        <f t="shared" ref="L44:O44" si="51">(H44-MIN(H$2:H$76))/(MAX(H$2:H$76)-MIN(H$2:H$76))</f>
        <v>0.3736708861</v>
      </c>
      <c r="M44" s="46">
        <f t="shared" si="51"/>
        <v>0.05422512498</v>
      </c>
      <c r="N44" s="46">
        <f t="shared" si="51"/>
        <v>0.174792655</v>
      </c>
      <c r="O44" s="46">
        <f t="shared" si="51"/>
        <v>0.03848554192</v>
      </c>
      <c r="P44" s="47">
        <f t="shared" si="6"/>
        <v>0.160293552</v>
      </c>
      <c r="Q44" s="48">
        <v>20.0</v>
      </c>
      <c r="R44" s="33">
        <v>99.99</v>
      </c>
      <c r="S44" s="49">
        <v>0.9934</v>
      </c>
      <c r="T44" s="35">
        <f t="shared" si="7"/>
        <v>0.05063291139</v>
      </c>
      <c r="U44" s="50">
        <v>0.9994</v>
      </c>
      <c r="V44" s="35">
        <f t="shared" si="8"/>
        <v>0.98424821</v>
      </c>
      <c r="W44" s="51">
        <f t="shared" si="9"/>
        <v>0.6780937071</v>
      </c>
      <c r="X44" s="52">
        <f t="shared" si="10"/>
        <v>-0.1428001552</v>
      </c>
      <c r="Y44" s="39" t="str">
        <f t="shared" si="11"/>
        <v>Tinggi</v>
      </c>
    </row>
    <row r="45" ht="14.25" customHeight="1">
      <c r="A45" s="40" t="s">
        <v>59</v>
      </c>
      <c r="B45" s="40" t="s">
        <v>79</v>
      </c>
      <c r="C45" s="41">
        <v>1.0</v>
      </c>
      <c r="D45" s="42">
        <v>0.0</v>
      </c>
      <c r="E45" s="42">
        <f t="shared" si="2"/>
        <v>0.125</v>
      </c>
      <c r="F45" s="43">
        <f t="shared" si="3"/>
        <v>0</v>
      </c>
      <c r="G45" s="44">
        <f t="shared" si="4"/>
        <v>0.0625</v>
      </c>
      <c r="H45" s="45">
        <v>0.0804</v>
      </c>
      <c r="I45" s="42">
        <v>72.4</v>
      </c>
      <c r="J45" s="42">
        <v>37550.0</v>
      </c>
      <c r="K45" s="42">
        <v>15.14</v>
      </c>
      <c r="L45" s="46">
        <f t="shared" ref="L45:O45" si="52">(H45-MIN(H$2:H$76))/(MAX(H$2:H$76)-MIN(H$2:H$76))</f>
        <v>0.2693670886</v>
      </c>
      <c r="M45" s="46">
        <f t="shared" si="52"/>
        <v>0.006347542511</v>
      </c>
      <c r="N45" s="46">
        <f t="shared" si="52"/>
        <v>0.07942690763</v>
      </c>
      <c r="O45" s="46">
        <f t="shared" si="52"/>
        <v>0.314333264</v>
      </c>
      <c r="P45" s="47">
        <f t="shared" si="6"/>
        <v>0.1673687007</v>
      </c>
      <c r="Q45" s="48">
        <v>19.0</v>
      </c>
      <c r="R45" s="33">
        <v>99.99</v>
      </c>
      <c r="S45" s="49">
        <v>0.6263</v>
      </c>
      <c r="T45" s="35">
        <f t="shared" si="7"/>
        <v>0.04641350211</v>
      </c>
      <c r="U45" s="50">
        <v>0.9994</v>
      </c>
      <c r="V45" s="35">
        <f t="shared" si="8"/>
        <v>0.1081145585</v>
      </c>
      <c r="W45" s="51">
        <f t="shared" si="9"/>
        <v>0.3846426869</v>
      </c>
      <c r="X45" s="52">
        <f t="shared" si="10"/>
        <v>-0.1547739862</v>
      </c>
      <c r="Y45" s="39" t="str">
        <f t="shared" si="11"/>
        <v>Tinggi</v>
      </c>
    </row>
    <row r="46" ht="14.25" customHeight="1">
      <c r="A46" s="40" t="s">
        <v>59</v>
      </c>
      <c r="B46" s="40" t="s">
        <v>80</v>
      </c>
      <c r="C46" s="41">
        <v>5.0</v>
      </c>
      <c r="D46" s="42">
        <v>0.0</v>
      </c>
      <c r="E46" s="42">
        <f t="shared" si="2"/>
        <v>0.625</v>
      </c>
      <c r="F46" s="43">
        <f t="shared" si="3"/>
        <v>0</v>
      </c>
      <c r="G46" s="44">
        <f t="shared" si="4"/>
        <v>0.3125</v>
      </c>
      <c r="H46" s="45">
        <v>0.0732</v>
      </c>
      <c r="I46" s="42">
        <v>72.99</v>
      </c>
      <c r="J46" s="42">
        <v>38535.0</v>
      </c>
      <c r="K46" s="42">
        <v>12.379999999999995</v>
      </c>
      <c r="L46" s="46">
        <f t="shared" ref="L46:O46" si="53">(H46-MIN(H$2:H$76))/(MAX(H$2:H$76)-MIN(H$2:H$76))</f>
        <v>0.2329113924</v>
      </c>
      <c r="M46" s="46">
        <f t="shared" si="53"/>
        <v>0.006413616083</v>
      </c>
      <c r="N46" s="46">
        <f t="shared" si="53"/>
        <v>0.08198303871</v>
      </c>
      <c r="O46" s="46">
        <f t="shared" si="53"/>
        <v>0.256916996</v>
      </c>
      <c r="P46" s="47">
        <f t="shared" si="6"/>
        <v>0.1445562608</v>
      </c>
      <c r="Q46" s="48">
        <v>19.0</v>
      </c>
      <c r="R46" s="33">
        <v>99.7</v>
      </c>
      <c r="S46" s="49">
        <v>0.8947</v>
      </c>
      <c r="T46" s="35">
        <f t="shared" si="7"/>
        <v>0.04641350211</v>
      </c>
      <c r="U46" s="50">
        <v>0.9834</v>
      </c>
      <c r="V46" s="35">
        <f t="shared" si="8"/>
        <v>0.7486873508</v>
      </c>
      <c r="W46" s="51">
        <f t="shared" si="9"/>
        <v>0.5928336176</v>
      </c>
      <c r="X46" s="52">
        <f t="shared" si="10"/>
        <v>-0.1357773568</v>
      </c>
      <c r="Y46" s="39" t="str">
        <f t="shared" si="11"/>
        <v>Tinggi</v>
      </c>
    </row>
    <row r="47" ht="14.25" customHeight="1">
      <c r="A47" s="40" t="s">
        <v>59</v>
      </c>
      <c r="B47" s="40" t="s">
        <v>81</v>
      </c>
      <c r="C47" s="41">
        <v>2.0</v>
      </c>
      <c r="D47" s="42">
        <v>0.0</v>
      </c>
      <c r="E47" s="42">
        <f t="shared" si="2"/>
        <v>0.25</v>
      </c>
      <c r="F47" s="43">
        <f t="shared" si="3"/>
        <v>0</v>
      </c>
      <c r="G47" s="44">
        <f t="shared" si="4"/>
        <v>0.125</v>
      </c>
      <c r="H47" s="45">
        <v>0.068</v>
      </c>
      <c r="I47" s="42">
        <v>111.13</v>
      </c>
      <c r="J47" s="42">
        <v>43967.0</v>
      </c>
      <c r="K47" s="42">
        <v>10.030000000000001</v>
      </c>
      <c r="L47" s="46">
        <f t="shared" ref="L47:O47" si="54">(H47-MIN(H$2:H$76))/(MAX(H$2:H$76)-MIN(H$2:H$76))</f>
        <v>0.2065822785</v>
      </c>
      <c r="M47" s="46">
        <f t="shared" si="54"/>
        <v>0.01068488057</v>
      </c>
      <c r="N47" s="46">
        <f t="shared" si="54"/>
        <v>0.09607938798</v>
      </c>
      <c r="O47" s="46">
        <f t="shared" si="54"/>
        <v>0.2080299563</v>
      </c>
      <c r="P47" s="47">
        <f t="shared" si="6"/>
        <v>0.1303441258</v>
      </c>
      <c r="Q47" s="48">
        <v>20.0</v>
      </c>
      <c r="R47" s="33">
        <v>99.82</v>
      </c>
      <c r="S47" s="49">
        <v>0.9259</v>
      </c>
      <c r="T47" s="35">
        <f t="shared" si="7"/>
        <v>0.05063291139</v>
      </c>
      <c r="U47" s="50">
        <v>0.99</v>
      </c>
      <c r="V47" s="35">
        <f t="shared" si="8"/>
        <v>0.823150358</v>
      </c>
      <c r="W47" s="57">
        <f t="shared" si="9"/>
        <v>0.6212610898</v>
      </c>
      <c r="X47" s="52">
        <f t="shared" si="10"/>
        <v>-0.365916964</v>
      </c>
      <c r="Y47" s="39" t="str">
        <f t="shared" si="11"/>
        <v>Sedang</v>
      </c>
    </row>
    <row r="48" ht="14.25" customHeight="1">
      <c r="A48" s="40" t="s">
        <v>59</v>
      </c>
      <c r="B48" s="40" t="s">
        <v>82</v>
      </c>
      <c r="C48" s="41">
        <v>2.0</v>
      </c>
      <c r="D48" s="42">
        <v>0.0</v>
      </c>
      <c r="E48" s="42">
        <f t="shared" si="2"/>
        <v>0.25</v>
      </c>
      <c r="F48" s="43">
        <f t="shared" si="3"/>
        <v>0</v>
      </c>
      <c r="G48" s="44">
        <f t="shared" si="4"/>
        <v>0.125</v>
      </c>
      <c r="H48" s="45">
        <v>0.0842</v>
      </c>
      <c r="I48" s="42">
        <v>112.72</v>
      </c>
      <c r="J48" s="42">
        <v>56448.0</v>
      </c>
      <c r="K48" s="42">
        <v>6.319999999999993</v>
      </c>
      <c r="L48" s="46">
        <f t="shared" ref="L48:O48" si="55">(H48-MIN(H$2:H$76))/(MAX(H$2:H$76)-MIN(H$2:H$76))</f>
        <v>0.2886075949</v>
      </c>
      <c r="M48" s="46">
        <f t="shared" si="55"/>
        <v>0.01086294325</v>
      </c>
      <c r="N48" s="46">
        <f t="shared" si="55"/>
        <v>0.1284682936</v>
      </c>
      <c r="O48" s="46">
        <f t="shared" si="55"/>
        <v>0.1308508425</v>
      </c>
      <c r="P48" s="47">
        <f t="shared" si="6"/>
        <v>0.1396974186</v>
      </c>
      <c r="Q48" s="48">
        <v>22.0</v>
      </c>
      <c r="R48" s="33">
        <v>100.0</v>
      </c>
      <c r="S48" s="49">
        <v>0.8778</v>
      </c>
      <c r="T48" s="35">
        <f t="shared" si="7"/>
        <v>0.05907172996</v>
      </c>
      <c r="U48" s="50">
        <v>1.0</v>
      </c>
      <c r="V48" s="35">
        <f t="shared" si="8"/>
        <v>0.708353222</v>
      </c>
      <c r="W48" s="51">
        <f t="shared" si="9"/>
        <v>0.5891416506</v>
      </c>
      <c r="X48" s="52">
        <f t="shared" si="10"/>
        <v>-0.3244442321</v>
      </c>
      <c r="Y48" s="39" t="str">
        <f t="shared" si="11"/>
        <v>Sedang</v>
      </c>
    </row>
    <row r="49" ht="14.25" customHeight="1">
      <c r="A49" s="40" t="s">
        <v>59</v>
      </c>
      <c r="B49" s="40" t="s">
        <v>83</v>
      </c>
      <c r="C49" s="41">
        <v>5.0</v>
      </c>
      <c r="D49" s="42">
        <v>0.0</v>
      </c>
      <c r="E49" s="42">
        <f t="shared" si="2"/>
        <v>0.625</v>
      </c>
      <c r="F49" s="43">
        <f t="shared" si="3"/>
        <v>0</v>
      </c>
      <c r="G49" s="44">
        <f t="shared" si="4"/>
        <v>0.3125</v>
      </c>
      <c r="H49" s="45">
        <v>0.2079</v>
      </c>
      <c r="I49" s="42">
        <v>130.4</v>
      </c>
      <c r="J49" s="42">
        <v>19724.0</v>
      </c>
      <c r="K49" s="42">
        <v>25.659999999999997</v>
      </c>
      <c r="L49" s="46">
        <f t="shared" ref="L49:O49" si="56">(H49-MIN(H$2:H$76))/(MAX(H$2:H$76)-MIN(H$2:H$76))</f>
        <v>0.9149367089</v>
      </c>
      <c r="M49" s="46">
        <f t="shared" si="56"/>
        <v>0.01284291064</v>
      </c>
      <c r="N49" s="46">
        <f t="shared" si="56"/>
        <v>0.03316742269</v>
      </c>
      <c r="O49" s="46">
        <f t="shared" si="56"/>
        <v>0.533180778</v>
      </c>
      <c r="P49" s="47">
        <f t="shared" si="6"/>
        <v>0.3735319551</v>
      </c>
      <c r="Q49" s="48">
        <v>12.0</v>
      </c>
      <c r="R49" s="33">
        <v>96.79</v>
      </c>
      <c r="S49" s="49">
        <v>0.7257</v>
      </c>
      <c r="T49" s="35">
        <f t="shared" si="7"/>
        <v>0.01687763713</v>
      </c>
      <c r="U49" s="50">
        <v>0.8226</v>
      </c>
      <c r="V49" s="35">
        <f t="shared" si="8"/>
        <v>0.3453460621</v>
      </c>
      <c r="W49" s="51">
        <f t="shared" si="9"/>
        <v>0.3949412331</v>
      </c>
      <c r="X49" s="52">
        <f t="shared" si="10"/>
        <v>0.291090722</v>
      </c>
      <c r="Y49" s="39" t="str">
        <f t="shared" si="11"/>
        <v>Sangat Tinggi</v>
      </c>
    </row>
    <row r="50" ht="14.25" customHeight="1">
      <c r="A50" s="40" t="s">
        <v>59</v>
      </c>
      <c r="B50" s="40" t="s">
        <v>84</v>
      </c>
      <c r="C50" s="41">
        <v>3.0</v>
      </c>
      <c r="D50" s="42">
        <v>0.0</v>
      </c>
      <c r="E50" s="42">
        <f t="shared" si="2"/>
        <v>0.375</v>
      </c>
      <c r="F50" s="43">
        <f t="shared" si="3"/>
        <v>0</v>
      </c>
      <c r="G50" s="44">
        <f t="shared" si="4"/>
        <v>0.1875</v>
      </c>
      <c r="H50" s="45">
        <v>0.2247</v>
      </c>
      <c r="I50" s="42">
        <v>213.53</v>
      </c>
      <c r="J50" s="42">
        <v>13635.0</v>
      </c>
      <c r="K50" s="42">
        <v>24.97</v>
      </c>
      <c r="L50" s="46">
        <f t="shared" ref="L50:O50" si="57">(H50-MIN(H$2:H$76))/(MAX(H$2:H$76)-MIN(H$2:H$76))</f>
        <v>1</v>
      </c>
      <c r="M50" s="46">
        <f t="shared" si="57"/>
        <v>0.022152565</v>
      </c>
      <c r="N50" s="46">
        <f t="shared" si="57"/>
        <v>0.01736612101</v>
      </c>
      <c r="O50" s="46">
        <f t="shared" si="57"/>
        <v>0.518826711</v>
      </c>
      <c r="P50" s="47">
        <f t="shared" si="6"/>
        <v>0.3895863493</v>
      </c>
      <c r="Q50" s="48">
        <v>15.0</v>
      </c>
      <c r="R50" s="33">
        <v>98.65</v>
      </c>
      <c r="S50" s="49">
        <v>0.581</v>
      </c>
      <c r="T50" s="35">
        <f t="shared" si="7"/>
        <v>0.02953586498</v>
      </c>
      <c r="U50" s="50">
        <v>0.9254</v>
      </c>
      <c r="V50" s="35">
        <f t="shared" si="8"/>
        <v>0</v>
      </c>
      <c r="W50" s="51">
        <f t="shared" si="9"/>
        <v>0.318311955</v>
      </c>
      <c r="X50" s="52">
        <f t="shared" si="10"/>
        <v>0.2587743943</v>
      </c>
      <c r="Y50" s="39" t="str">
        <f t="shared" si="11"/>
        <v>Sangat Tinggi</v>
      </c>
    </row>
    <row r="51" ht="14.25" customHeight="1">
      <c r="A51" s="40" t="s">
        <v>59</v>
      </c>
      <c r="B51" s="40" t="s">
        <v>85</v>
      </c>
      <c r="C51" s="41">
        <v>1.0</v>
      </c>
      <c r="D51" s="42">
        <v>0.0</v>
      </c>
      <c r="E51" s="42">
        <f t="shared" si="2"/>
        <v>0.125</v>
      </c>
      <c r="F51" s="43">
        <f t="shared" si="3"/>
        <v>0</v>
      </c>
      <c r="G51" s="44">
        <f t="shared" si="4"/>
        <v>0.0625</v>
      </c>
      <c r="H51" s="45">
        <v>0.1028</v>
      </c>
      <c r="I51" s="42">
        <v>8041.5</v>
      </c>
      <c r="J51" s="42">
        <v>14415.0</v>
      </c>
      <c r="K51" s="42">
        <v>1.0400000000000063</v>
      </c>
      <c r="L51" s="46">
        <f t="shared" ref="L51:O51" si="58">(H51-MIN(H$2:H$76))/(MAX(H$2:H$76)-MIN(H$2:H$76))</f>
        <v>0.3827848101</v>
      </c>
      <c r="M51" s="46">
        <f t="shared" si="58"/>
        <v>0.8987999247</v>
      </c>
      <c r="N51" s="46">
        <f t="shared" si="58"/>
        <v>0.01939026542</v>
      </c>
      <c r="O51" s="46">
        <f t="shared" si="58"/>
        <v>0.02101102559</v>
      </c>
      <c r="P51" s="47">
        <f t="shared" si="6"/>
        <v>0.3304965065</v>
      </c>
      <c r="Q51" s="48">
        <v>8.0</v>
      </c>
      <c r="R51" s="33">
        <v>100.0</v>
      </c>
      <c r="S51" s="49">
        <v>1.0</v>
      </c>
      <c r="T51" s="35">
        <f t="shared" si="7"/>
        <v>0</v>
      </c>
      <c r="U51" s="50">
        <v>1.0</v>
      </c>
      <c r="V51" s="35">
        <f t="shared" si="8"/>
        <v>1</v>
      </c>
      <c r="W51" s="51">
        <f t="shared" si="9"/>
        <v>0.6666666667</v>
      </c>
      <c r="X51" s="52">
        <f t="shared" si="10"/>
        <v>-0.2736701602</v>
      </c>
      <c r="Y51" s="39" t="str">
        <f t="shared" si="11"/>
        <v>Sedang</v>
      </c>
    </row>
    <row r="52" ht="14.25" customHeight="1">
      <c r="A52" s="40" t="s">
        <v>59</v>
      </c>
      <c r="B52" s="40" t="s">
        <v>86</v>
      </c>
      <c r="C52" s="41">
        <v>2.0</v>
      </c>
      <c r="D52" s="42">
        <v>0.0</v>
      </c>
      <c r="E52" s="42">
        <f t="shared" si="2"/>
        <v>0.25</v>
      </c>
      <c r="F52" s="43">
        <f t="shared" si="3"/>
        <v>0</v>
      </c>
      <c r="G52" s="44">
        <f t="shared" si="4"/>
        <v>0.125</v>
      </c>
      <c r="H52" s="45">
        <v>0.1067</v>
      </c>
      <c r="I52" s="42">
        <v>3130.63</v>
      </c>
      <c r="J52" s="42">
        <v>28712.0</v>
      </c>
      <c r="K52" s="42">
        <v>15.11</v>
      </c>
      <c r="L52" s="46">
        <f t="shared" ref="L52:O52" si="59">(H52-MIN(H$2:H$76))/(MAX(H$2:H$76)-MIN(H$2:H$76))</f>
        <v>0.4025316456</v>
      </c>
      <c r="M52" s="46">
        <f t="shared" si="59"/>
        <v>0.3488359852</v>
      </c>
      <c r="N52" s="46">
        <f t="shared" si="59"/>
        <v>0.05649179443</v>
      </c>
      <c r="O52" s="46">
        <f t="shared" si="59"/>
        <v>0.3137091741</v>
      </c>
      <c r="P52" s="47">
        <f t="shared" si="6"/>
        <v>0.2803921498</v>
      </c>
      <c r="Q52" s="48">
        <v>10.0</v>
      </c>
      <c r="R52" s="33">
        <v>99.79</v>
      </c>
      <c r="S52" s="49">
        <v>1.0</v>
      </c>
      <c r="T52" s="35">
        <f t="shared" si="7"/>
        <v>0.008438818565</v>
      </c>
      <c r="U52" s="50">
        <v>0.9884</v>
      </c>
      <c r="V52" s="35">
        <f t="shared" si="8"/>
        <v>1</v>
      </c>
      <c r="W52" s="51">
        <f t="shared" si="9"/>
        <v>0.6656129395</v>
      </c>
      <c r="X52" s="52">
        <f t="shared" si="10"/>
        <v>-0.2602207897</v>
      </c>
      <c r="Y52" s="39" t="str">
        <f t="shared" si="11"/>
        <v>Sedang</v>
      </c>
    </row>
    <row r="53" ht="14.25" customHeight="1">
      <c r="A53" s="40" t="s">
        <v>59</v>
      </c>
      <c r="B53" s="40" t="s">
        <v>87</v>
      </c>
      <c r="C53" s="41">
        <v>0.0</v>
      </c>
      <c r="D53" s="42">
        <v>0.0</v>
      </c>
      <c r="E53" s="42">
        <f t="shared" si="2"/>
        <v>0</v>
      </c>
      <c r="F53" s="43">
        <f t="shared" si="3"/>
        <v>0</v>
      </c>
      <c r="G53" s="44">
        <f t="shared" si="4"/>
        <v>0</v>
      </c>
      <c r="H53" s="45">
        <v>0.0624</v>
      </c>
      <c r="I53" s="42">
        <v>3677.58</v>
      </c>
      <c r="J53" s="42">
        <v>47815.0</v>
      </c>
      <c r="K53" s="42">
        <v>0.39000000000000057</v>
      </c>
      <c r="L53" s="46">
        <f t="shared" ref="L53:O53" si="60">(H53-MIN(H$2:H$76))/(MAX(H$2:H$76)-MIN(H$2:H$76))</f>
        <v>0.1782278481</v>
      </c>
      <c r="M53" s="46">
        <f t="shared" si="60"/>
        <v>0.4100884266</v>
      </c>
      <c r="N53" s="46">
        <f t="shared" si="60"/>
        <v>0.1060651671</v>
      </c>
      <c r="O53" s="46">
        <f t="shared" si="60"/>
        <v>0.007489078427</v>
      </c>
      <c r="P53" s="47">
        <f t="shared" si="6"/>
        <v>0.17546763</v>
      </c>
      <c r="Q53" s="48">
        <v>29.0</v>
      </c>
      <c r="R53" s="33">
        <v>100.0</v>
      </c>
      <c r="S53" s="49">
        <v>1.0</v>
      </c>
      <c r="T53" s="35">
        <f t="shared" si="7"/>
        <v>0.08860759494</v>
      </c>
      <c r="U53" s="50">
        <v>1.0</v>
      </c>
      <c r="V53" s="35">
        <f t="shared" si="8"/>
        <v>1</v>
      </c>
      <c r="W53" s="51">
        <f t="shared" si="9"/>
        <v>0.6962025316</v>
      </c>
      <c r="X53" s="52">
        <f t="shared" si="10"/>
        <v>-0.5207349016</v>
      </c>
      <c r="Y53" s="39" t="str">
        <f t="shared" si="11"/>
        <v>Rendah</v>
      </c>
    </row>
    <row r="54" ht="14.25" customHeight="1">
      <c r="A54" s="40" t="s">
        <v>59</v>
      </c>
      <c r="B54" s="40" t="s">
        <v>88</v>
      </c>
      <c r="C54" s="41">
        <v>6.0</v>
      </c>
      <c r="D54" s="42">
        <v>0.0</v>
      </c>
      <c r="E54" s="42">
        <f t="shared" si="2"/>
        <v>0.75</v>
      </c>
      <c r="F54" s="43">
        <f t="shared" si="3"/>
        <v>0</v>
      </c>
      <c r="G54" s="44">
        <f t="shared" si="4"/>
        <v>0.375</v>
      </c>
      <c r="H54" s="45">
        <v>0.0874</v>
      </c>
      <c r="I54" s="42">
        <v>4671.13</v>
      </c>
      <c r="J54" s="42">
        <v>29645.0</v>
      </c>
      <c r="K54" s="42">
        <v>0.7999999999999972</v>
      </c>
      <c r="L54" s="46">
        <f t="shared" ref="L54:O54" si="61">(H54-MIN(H$2:H$76))/(MAX(H$2:H$76)-MIN(H$2:H$76))</f>
        <v>0.3048101266</v>
      </c>
      <c r="M54" s="46">
        <f t="shared" si="61"/>
        <v>0.5213552026</v>
      </c>
      <c r="N54" s="46">
        <f t="shared" si="61"/>
        <v>0.05891298255</v>
      </c>
      <c r="O54" s="46">
        <f t="shared" si="61"/>
        <v>0.01601830664</v>
      </c>
      <c r="P54" s="47">
        <f t="shared" si="6"/>
        <v>0.2252741546</v>
      </c>
      <c r="Q54" s="48">
        <v>15.0</v>
      </c>
      <c r="R54" s="33">
        <v>99.99</v>
      </c>
      <c r="S54" s="49">
        <v>1.0</v>
      </c>
      <c r="T54" s="35">
        <f t="shared" si="7"/>
        <v>0.02953586498</v>
      </c>
      <c r="U54" s="50">
        <v>0.9994</v>
      </c>
      <c r="V54" s="35">
        <f t="shared" si="8"/>
        <v>1</v>
      </c>
      <c r="W54" s="51">
        <f t="shared" si="9"/>
        <v>0.676311955</v>
      </c>
      <c r="X54" s="52">
        <f t="shared" si="10"/>
        <v>-0.07603780041</v>
      </c>
      <c r="Y54" s="39" t="str">
        <f t="shared" si="11"/>
        <v>Tinggi</v>
      </c>
    </row>
    <row r="55" ht="14.25" customHeight="1">
      <c r="A55" s="40" t="s">
        <v>59</v>
      </c>
      <c r="B55" s="40" t="s">
        <v>89</v>
      </c>
      <c r="C55" s="41">
        <v>4.0</v>
      </c>
      <c r="D55" s="42">
        <v>0.0</v>
      </c>
      <c r="E55" s="42">
        <f t="shared" si="2"/>
        <v>0.5</v>
      </c>
      <c r="F55" s="43">
        <f t="shared" si="3"/>
        <v>0</v>
      </c>
      <c r="G55" s="44">
        <f t="shared" si="4"/>
        <v>0.25</v>
      </c>
      <c r="H55" s="45">
        <v>0.0725</v>
      </c>
      <c r="I55" s="42">
        <v>8945.16</v>
      </c>
      <c r="J55" s="42">
        <v>392291.0</v>
      </c>
      <c r="K55" s="42">
        <v>0.7399999999999949</v>
      </c>
      <c r="L55" s="46">
        <f t="shared" ref="L55:O55" si="62">(H55-MIN(H$2:H$76))/(MAX(H$2:H$76)-MIN(H$2:H$76))</f>
        <v>0.2293670886</v>
      </c>
      <c r="M55" s="46">
        <f t="shared" si="62"/>
        <v>1</v>
      </c>
      <c r="N55" s="46">
        <f t="shared" si="62"/>
        <v>1</v>
      </c>
      <c r="O55" s="46">
        <f t="shared" si="62"/>
        <v>0.0147701269</v>
      </c>
      <c r="P55" s="47">
        <f t="shared" si="6"/>
        <v>0.5610343039</v>
      </c>
      <c r="Q55" s="48">
        <v>108.0</v>
      </c>
      <c r="R55" s="33">
        <v>100.0</v>
      </c>
      <c r="S55" s="49">
        <v>1.0</v>
      </c>
      <c r="T55" s="35">
        <f t="shared" si="7"/>
        <v>0.4219409283</v>
      </c>
      <c r="U55" s="50">
        <v>1.0</v>
      </c>
      <c r="V55" s="35">
        <f t="shared" si="8"/>
        <v>1</v>
      </c>
      <c r="W55" s="51">
        <f t="shared" si="9"/>
        <v>0.8073136428</v>
      </c>
      <c r="X55" s="52">
        <f t="shared" si="10"/>
        <v>0.00372066112</v>
      </c>
      <c r="Y55" s="39" t="str">
        <f t="shared" si="11"/>
        <v>Tinggi</v>
      </c>
    </row>
    <row r="56" ht="14.25" customHeight="1">
      <c r="A56" s="40" t="s">
        <v>59</v>
      </c>
      <c r="B56" s="40" t="s">
        <v>90</v>
      </c>
      <c r="C56" s="41">
        <v>4.0</v>
      </c>
      <c r="D56" s="42">
        <v>0.0</v>
      </c>
      <c r="E56" s="42">
        <f t="shared" si="2"/>
        <v>0.5</v>
      </c>
      <c r="F56" s="43">
        <f t="shared" si="3"/>
        <v>0</v>
      </c>
      <c r="G56" s="44">
        <f t="shared" si="4"/>
        <v>0.25</v>
      </c>
      <c r="H56" s="45">
        <v>0.0471</v>
      </c>
      <c r="I56" s="42">
        <v>3315.9</v>
      </c>
      <c r="J56" s="42">
        <v>44254.0</v>
      </c>
      <c r="K56" s="42">
        <v>1.5</v>
      </c>
      <c r="L56" s="46">
        <f t="shared" ref="L56:O56" si="63">(H56-MIN(H$2:H$76))/(MAX(H$2:H$76)-MIN(H$2:H$76))</f>
        <v>0.1007594937</v>
      </c>
      <c r="M56" s="46">
        <f t="shared" si="63"/>
        <v>0.3695842068</v>
      </c>
      <c r="N56" s="46">
        <f t="shared" si="63"/>
        <v>0.09682416932</v>
      </c>
      <c r="O56" s="46">
        <f t="shared" si="63"/>
        <v>0.03058040358</v>
      </c>
      <c r="P56" s="47">
        <f t="shared" si="6"/>
        <v>0.1494370684</v>
      </c>
      <c r="Q56" s="48">
        <v>18.0</v>
      </c>
      <c r="R56" s="33">
        <v>100.0</v>
      </c>
      <c r="S56" s="49">
        <v>1.0</v>
      </c>
      <c r="T56" s="35">
        <f t="shared" si="7"/>
        <v>0.04219409283</v>
      </c>
      <c r="U56" s="50">
        <v>1.0</v>
      </c>
      <c r="V56" s="35">
        <f t="shared" si="8"/>
        <v>1</v>
      </c>
      <c r="W56" s="51">
        <f t="shared" si="9"/>
        <v>0.6807313643</v>
      </c>
      <c r="X56" s="52">
        <f t="shared" si="10"/>
        <v>-0.2812942959</v>
      </c>
      <c r="Y56" s="39" t="str">
        <f t="shared" si="11"/>
        <v>Sedang</v>
      </c>
    </row>
    <row r="57" ht="14.25" customHeight="1">
      <c r="A57" s="40" t="s">
        <v>59</v>
      </c>
      <c r="B57" s="40" t="s">
        <v>91</v>
      </c>
      <c r="C57" s="41">
        <v>5.0</v>
      </c>
      <c r="D57" s="42">
        <v>0.0</v>
      </c>
      <c r="E57" s="42">
        <f t="shared" si="2"/>
        <v>0.625</v>
      </c>
      <c r="F57" s="43">
        <f t="shared" si="3"/>
        <v>0</v>
      </c>
      <c r="G57" s="44">
        <f t="shared" si="4"/>
        <v>0.3125</v>
      </c>
      <c r="H57" s="45">
        <v>0.0561</v>
      </c>
      <c r="I57" s="42">
        <v>1530.73</v>
      </c>
      <c r="J57" s="42">
        <v>35598.0</v>
      </c>
      <c r="K57" s="42">
        <v>35.769999999999996</v>
      </c>
      <c r="L57" s="46">
        <f t="shared" ref="L57:O57" si="64">(H57-MIN(H$2:H$76))/(MAX(H$2:H$76)-MIN(H$2:H$76))</f>
        <v>0.1463291139</v>
      </c>
      <c r="M57" s="46">
        <f t="shared" si="64"/>
        <v>0.169664615</v>
      </c>
      <c r="N57" s="46">
        <f t="shared" si="64"/>
        <v>0.07436135649</v>
      </c>
      <c r="O57" s="46">
        <f t="shared" si="64"/>
        <v>0.7434990639</v>
      </c>
      <c r="P57" s="47">
        <f t="shared" si="6"/>
        <v>0.2834635373</v>
      </c>
      <c r="Q57" s="48">
        <v>14.0</v>
      </c>
      <c r="R57" s="33">
        <v>99.65</v>
      </c>
      <c r="S57" s="49">
        <v>1.0</v>
      </c>
      <c r="T57" s="35">
        <f t="shared" si="7"/>
        <v>0.0253164557</v>
      </c>
      <c r="U57" s="50">
        <v>0.9807</v>
      </c>
      <c r="V57" s="35">
        <f t="shared" si="8"/>
        <v>1</v>
      </c>
      <c r="W57" s="51">
        <f t="shared" si="9"/>
        <v>0.6686721519</v>
      </c>
      <c r="X57" s="52">
        <f t="shared" si="10"/>
        <v>-0.07270861457</v>
      </c>
      <c r="Y57" s="39" t="str">
        <f t="shared" si="11"/>
        <v>Tinggi</v>
      </c>
    </row>
    <row r="58" ht="14.25" customHeight="1">
      <c r="A58" s="40" t="s">
        <v>59</v>
      </c>
      <c r="B58" s="40" t="s">
        <v>92</v>
      </c>
      <c r="C58" s="41">
        <v>4.0</v>
      </c>
      <c r="D58" s="42">
        <v>1.0</v>
      </c>
      <c r="E58" s="42">
        <f t="shared" si="2"/>
        <v>0.5</v>
      </c>
      <c r="F58" s="43">
        <f t="shared" si="3"/>
        <v>1</v>
      </c>
      <c r="G58" s="44">
        <f t="shared" si="4"/>
        <v>0.75</v>
      </c>
      <c r="H58" s="45">
        <v>0.1385</v>
      </c>
      <c r="I58" s="42">
        <v>706.89</v>
      </c>
      <c r="J58" s="42">
        <v>22131.0</v>
      </c>
      <c r="K58" s="42">
        <v>17.650000000000006</v>
      </c>
      <c r="L58" s="46">
        <f t="shared" ref="L58:O58" si="65">(H58-MIN(H$2:H$76))/(MAX(H$2:H$76)-MIN(H$2:H$76))</f>
        <v>0.5635443038</v>
      </c>
      <c r="M58" s="46">
        <f t="shared" si="65"/>
        <v>0.07740351019</v>
      </c>
      <c r="N58" s="46">
        <f t="shared" si="65"/>
        <v>0.03941372474</v>
      </c>
      <c r="O58" s="46">
        <f t="shared" si="65"/>
        <v>0.366548783</v>
      </c>
      <c r="P58" s="47">
        <f t="shared" si="6"/>
        <v>0.2617275804</v>
      </c>
      <c r="Q58" s="48">
        <v>9.0</v>
      </c>
      <c r="R58" s="33">
        <v>98.44</v>
      </c>
      <c r="S58" s="49">
        <v>0.901</v>
      </c>
      <c r="T58" s="35">
        <f t="shared" si="7"/>
        <v>0.004219409283</v>
      </c>
      <c r="U58" s="50">
        <v>0.9138</v>
      </c>
      <c r="V58" s="35">
        <f t="shared" si="8"/>
        <v>0.7637231504</v>
      </c>
      <c r="W58" s="51">
        <f t="shared" si="9"/>
        <v>0.5605808532</v>
      </c>
      <c r="X58" s="52">
        <f t="shared" si="10"/>
        <v>0.4511467272</v>
      </c>
      <c r="Y58" s="39" t="str">
        <f t="shared" si="11"/>
        <v>Sangat Tinggi</v>
      </c>
    </row>
    <row r="59" ht="14.25" customHeight="1">
      <c r="A59" s="40" t="s">
        <v>93</v>
      </c>
      <c r="B59" s="40" t="s">
        <v>94</v>
      </c>
      <c r="C59" s="41">
        <v>3.0</v>
      </c>
      <c r="D59" s="42">
        <v>0.0</v>
      </c>
      <c r="E59" s="42">
        <f t="shared" si="2"/>
        <v>0.375</v>
      </c>
      <c r="F59" s="43">
        <f t="shared" si="3"/>
        <v>0</v>
      </c>
      <c r="G59" s="44">
        <f t="shared" si="4"/>
        <v>0.1875</v>
      </c>
      <c r="H59" s="45">
        <v>0.1322</v>
      </c>
      <c r="I59" s="42">
        <v>15.72</v>
      </c>
      <c r="J59" s="42">
        <v>10987.0</v>
      </c>
      <c r="K59" s="42">
        <v>23.879999999999995</v>
      </c>
      <c r="L59" s="46">
        <f t="shared" ref="L59:O59" si="66">(H59-MIN(H$2:H$76))/(MAX(H$2:H$76)-MIN(H$2:H$76))</f>
        <v>0.5316455696</v>
      </c>
      <c r="M59" s="46">
        <f t="shared" si="66"/>
        <v>0</v>
      </c>
      <c r="N59" s="46">
        <f t="shared" si="66"/>
        <v>0.01049441025</v>
      </c>
      <c r="O59" s="46">
        <f t="shared" si="66"/>
        <v>0.4961514458</v>
      </c>
      <c r="P59" s="47">
        <f t="shared" si="6"/>
        <v>0.2595728564</v>
      </c>
      <c r="Q59" s="48">
        <v>57.0</v>
      </c>
      <c r="R59" s="33">
        <v>81.91</v>
      </c>
      <c r="S59" s="49">
        <v>0.6744</v>
      </c>
      <c r="T59" s="35">
        <f t="shared" si="7"/>
        <v>0.2067510549</v>
      </c>
      <c r="U59" s="50">
        <v>0.0</v>
      </c>
      <c r="V59" s="35">
        <f t="shared" si="8"/>
        <v>0.2229116945</v>
      </c>
      <c r="W59" s="51">
        <f t="shared" si="9"/>
        <v>0.1432209165</v>
      </c>
      <c r="X59" s="52">
        <f t="shared" si="10"/>
        <v>0.30385194</v>
      </c>
      <c r="Y59" s="39" t="str">
        <f t="shared" si="11"/>
        <v>Sangat Tinggi</v>
      </c>
    </row>
    <row r="60" ht="14.25" customHeight="1">
      <c r="A60" s="40" t="s">
        <v>93</v>
      </c>
      <c r="B60" s="40" t="s">
        <v>95</v>
      </c>
      <c r="C60" s="41">
        <v>4.0</v>
      </c>
      <c r="D60" s="42">
        <v>0.0</v>
      </c>
      <c r="E60" s="42">
        <f t="shared" si="2"/>
        <v>0.5</v>
      </c>
      <c r="F60" s="43">
        <f t="shared" si="3"/>
        <v>0</v>
      </c>
      <c r="G60" s="44">
        <f t="shared" si="4"/>
        <v>0.25</v>
      </c>
      <c r="H60" s="45">
        <v>0.0652</v>
      </c>
      <c r="I60" s="42">
        <v>89.38</v>
      </c>
      <c r="J60" s="42">
        <v>84743.0</v>
      </c>
      <c r="K60" s="42">
        <v>9.719999999999999</v>
      </c>
      <c r="L60" s="46">
        <f t="shared" ref="L60:O60" si="67">(H60-MIN(H$2:H$76))/(MAX(H$2:H$76)-MIN(H$2:H$76))</f>
        <v>0.1924050633</v>
      </c>
      <c r="M60" s="46">
        <f t="shared" si="67"/>
        <v>0.008249117526</v>
      </c>
      <c r="N60" s="46">
        <f t="shared" si="67"/>
        <v>0.2018954296</v>
      </c>
      <c r="O60" s="46">
        <f t="shared" si="67"/>
        <v>0.2015810277</v>
      </c>
      <c r="P60" s="47">
        <f t="shared" si="6"/>
        <v>0.1510326595</v>
      </c>
      <c r="Q60" s="48">
        <v>124.0</v>
      </c>
      <c r="R60" s="33">
        <v>99.76</v>
      </c>
      <c r="S60" s="49">
        <v>0.9505</v>
      </c>
      <c r="T60" s="35">
        <f t="shared" si="7"/>
        <v>0.4894514768</v>
      </c>
      <c r="U60" s="50">
        <v>0.9867</v>
      </c>
      <c r="V60" s="35">
        <f t="shared" si="8"/>
        <v>0.8818615752</v>
      </c>
      <c r="W60" s="51">
        <f t="shared" si="9"/>
        <v>0.7860043507</v>
      </c>
      <c r="X60" s="52">
        <f t="shared" si="10"/>
        <v>-0.3849716911</v>
      </c>
      <c r="Y60" s="39" t="str">
        <f t="shared" si="11"/>
        <v>Sedang</v>
      </c>
    </row>
    <row r="61" ht="14.25" customHeight="1">
      <c r="A61" s="40" t="s">
        <v>93</v>
      </c>
      <c r="B61" s="40" t="s">
        <v>96</v>
      </c>
      <c r="C61" s="41">
        <v>2.0</v>
      </c>
      <c r="D61" s="42">
        <v>0.0</v>
      </c>
      <c r="E61" s="42">
        <f t="shared" si="2"/>
        <v>0.25</v>
      </c>
      <c r="F61" s="43">
        <f t="shared" si="3"/>
        <v>0</v>
      </c>
      <c r="G61" s="44">
        <f t="shared" si="4"/>
        <v>0.125</v>
      </c>
      <c r="H61" s="45">
        <v>0.0652</v>
      </c>
      <c r="I61" s="42">
        <v>115.71</v>
      </c>
      <c r="J61" s="42">
        <v>64452.0</v>
      </c>
      <c r="K61" s="42">
        <v>14.409999999999997</v>
      </c>
      <c r="L61" s="46">
        <f t="shared" ref="L61:O61" si="68">(H61-MIN(H$2:H$76))/(MAX(H$2:H$76)-MIN(H$2:H$76))</f>
        <v>0.1924050633</v>
      </c>
      <c r="M61" s="46">
        <f t="shared" si="68"/>
        <v>0.01119779068</v>
      </c>
      <c r="N61" s="46">
        <f t="shared" si="68"/>
        <v>0.1492391293</v>
      </c>
      <c r="O61" s="46">
        <f t="shared" si="68"/>
        <v>0.2991470772</v>
      </c>
      <c r="P61" s="47">
        <f t="shared" si="6"/>
        <v>0.1629972651</v>
      </c>
      <c r="Q61" s="48">
        <v>109.0</v>
      </c>
      <c r="R61" s="33">
        <v>100.0</v>
      </c>
      <c r="S61" s="49">
        <v>0.8243</v>
      </c>
      <c r="T61" s="35">
        <f t="shared" si="7"/>
        <v>0.4261603376</v>
      </c>
      <c r="U61" s="50">
        <v>1.0</v>
      </c>
      <c r="V61" s="35">
        <f t="shared" si="8"/>
        <v>0.5806682578</v>
      </c>
      <c r="W61" s="51">
        <f t="shared" si="9"/>
        <v>0.6689428651</v>
      </c>
      <c r="X61" s="52">
        <f t="shared" si="10"/>
        <v>-0.3809456</v>
      </c>
      <c r="Y61" s="39" t="str">
        <f t="shared" si="11"/>
        <v>Sedang</v>
      </c>
    </row>
    <row r="62" ht="14.25" customHeight="1">
      <c r="A62" s="40" t="s">
        <v>93</v>
      </c>
      <c r="B62" s="40" t="s">
        <v>97</v>
      </c>
      <c r="C62" s="41">
        <v>1.0</v>
      </c>
      <c r="D62" s="42">
        <v>0.0</v>
      </c>
      <c r="E62" s="42">
        <f t="shared" si="2"/>
        <v>0.125</v>
      </c>
      <c r="F62" s="43">
        <f t="shared" si="3"/>
        <v>0</v>
      </c>
      <c r="G62" s="44">
        <f t="shared" si="4"/>
        <v>0.0625</v>
      </c>
      <c r="H62" s="45">
        <v>0.0515</v>
      </c>
      <c r="I62" s="42">
        <v>79.29</v>
      </c>
      <c r="J62" s="42">
        <v>36636.0</v>
      </c>
      <c r="K62" s="42">
        <v>23.870000000000005</v>
      </c>
      <c r="L62" s="46">
        <f t="shared" ref="L62:O62" si="69">(H62-MIN(H$2:H$76))/(MAX(H$2:H$76)-MIN(H$2:H$76))</f>
        <v>0.1230379747</v>
      </c>
      <c r="M62" s="46">
        <f t="shared" si="69"/>
        <v>0.007119147449</v>
      </c>
      <c r="N62" s="46">
        <f t="shared" si="69"/>
        <v>0.07705502559</v>
      </c>
      <c r="O62" s="46">
        <f t="shared" si="69"/>
        <v>0.4959434159</v>
      </c>
      <c r="P62" s="47">
        <f t="shared" si="6"/>
        <v>0.1757888909</v>
      </c>
      <c r="Q62" s="48">
        <v>66.0</v>
      </c>
      <c r="R62" s="33">
        <v>99.4</v>
      </c>
      <c r="S62" s="49">
        <v>0.9355</v>
      </c>
      <c r="T62" s="35">
        <f t="shared" si="7"/>
        <v>0.2447257384</v>
      </c>
      <c r="U62" s="50">
        <v>0.9668</v>
      </c>
      <c r="V62" s="35">
        <f t="shared" si="8"/>
        <v>0.8460620525</v>
      </c>
      <c r="W62" s="51">
        <f t="shared" si="9"/>
        <v>0.685862597</v>
      </c>
      <c r="X62" s="52">
        <f t="shared" si="10"/>
        <v>-0.4475737061</v>
      </c>
      <c r="Y62" s="39" t="str">
        <f t="shared" si="11"/>
        <v>Sedang</v>
      </c>
    </row>
    <row r="63" ht="14.25" customHeight="1">
      <c r="A63" s="40" t="s">
        <v>93</v>
      </c>
      <c r="B63" s="40" t="s">
        <v>98</v>
      </c>
      <c r="C63" s="41">
        <v>1.0</v>
      </c>
      <c r="D63" s="42">
        <v>0.0</v>
      </c>
      <c r="E63" s="42">
        <f t="shared" si="2"/>
        <v>0.125</v>
      </c>
      <c r="F63" s="43">
        <f t="shared" si="3"/>
        <v>0</v>
      </c>
      <c r="G63" s="44">
        <f t="shared" si="4"/>
        <v>0.0625</v>
      </c>
      <c r="H63" s="45">
        <v>0.0359</v>
      </c>
      <c r="I63" s="42">
        <v>285.18</v>
      </c>
      <c r="J63" s="42">
        <v>69188.0</v>
      </c>
      <c r="K63" s="42">
        <v>9.959999999999994</v>
      </c>
      <c r="L63" s="46">
        <f t="shared" ref="L63:O63" si="70">(H63-MIN(H$2:H$76))/(MAX(H$2:H$76)-MIN(H$2:H$76))</f>
        <v>0.04405063291</v>
      </c>
      <c r="M63" s="46">
        <f t="shared" si="70"/>
        <v>0.03017658442</v>
      </c>
      <c r="N63" s="46">
        <f t="shared" si="70"/>
        <v>0.161529319</v>
      </c>
      <c r="O63" s="46">
        <f t="shared" si="70"/>
        <v>0.2065737466</v>
      </c>
      <c r="P63" s="47">
        <f t="shared" si="6"/>
        <v>0.1105825707</v>
      </c>
      <c r="Q63" s="48">
        <v>105.0</v>
      </c>
      <c r="R63" s="33">
        <v>99.55</v>
      </c>
      <c r="S63" s="49">
        <v>0.9867</v>
      </c>
      <c r="T63" s="35">
        <f t="shared" si="7"/>
        <v>0.4092827004</v>
      </c>
      <c r="U63" s="50">
        <v>0.9751</v>
      </c>
      <c r="V63" s="35">
        <f t="shared" si="8"/>
        <v>0.9682577566</v>
      </c>
      <c r="W63" s="51">
        <f t="shared" si="9"/>
        <v>0.7842134857</v>
      </c>
      <c r="X63" s="52">
        <f t="shared" si="10"/>
        <v>-0.6111309149</v>
      </c>
      <c r="Y63" s="39" t="str">
        <f t="shared" si="11"/>
        <v>Rendah</v>
      </c>
    </row>
    <row r="64" ht="14.25" customHeight="1">
      <c r="A64" s="40" t="s">
        <v>93</v>
      </c>
      <c r="B64" s="40" t="s">
        <v>99</v>
      </c>
      <c r="C64" s="41">
        <v>1.0</v>
      </c>
      <c r="D64" s="42">
        <v>1.0</v>
      </c>
      <c r="E64" s="42">
        <f t="shared" si="2"/>
        <v>0.125</v>
      </c>
      <c r="F64" s="43">
        <f t="shared" si="3"/>
        <v>1</v>
      </c>
      <c r="G64" s="44">
        <f t="shared" si="4"/>
        <v>0.5625</v>
      </c>
      <c r="H64" s="45">
        <v>0.0586</v>
      </c>
      <c r="I64" s="42">
        <v>347.95</v>
      </c>
      <c r="J64" s="42">
        <v>77995.0</v>
      </c>
      <c r="K64" s="42">
        <v>6.5</v>
      </c>
      <c r="L64" s="46">
        <f t="shared" ref="L64:O64" si="71">(H64-MIN(H$2:H$76))/(MAX(H$2:H$76)-MIN(H$2:H$76))</f>
        <v>0.1589873418</v>
      </c>
      <c r="M64" s="46">
        <f t="shared" si="71"/>
        <v>0.03720614059</v>
      </c>
      <c r="N64" s="46">
        <f t="shared" si="71"/>
        <v>0.1843839854</v>
      </c>
      <c r="O64" s="46">
        <f t="shared" si="71"/>
        <v>0.1345953817</v>
      </c>
      <c r="P64" s="47">
        <f t="shared" si="6"/>
        <v>0.1287932124</v>
      </c>
      <c r="Q64" s="48">
        <v>105.0</v>
      </c>
      <c r="R64" s="33">
        <v>99.69</v>
      </c>
      <c r="S64" s="49">
        <v>0.9223</v>
      </c>
      <c r="T64" s="35">
        <f t="shared" si="7"/>
        <v>0.4092827004</v>
      </c>
      <c r="U64" s="50">
        <v>0.9829</v>
      </c>
      <c r="V64" s="35">
        <f t="shared" si="8"/>
        <v>0.8145584726</v>
      </c>
      <c r="W64" s="51">
        <f t="shared" si="9"/>
        <v>0.735580391</v>
      </c>
      <c r="X64" s="52">
        <f t="shared" si="10"/>
        <v>-0.04428717862</v>
      </c>
      <c r="Y64" s="39" t="str">
        <f t="shared" si="11"/>
        <v>Tinggi</v>
      </c>
    </row>
    <row r="65" ht="14.25" customHeight="1">
      <c r="A65" s="40" t="s">
        <v>93</v>
      </c>
      <c r="B65" s="40" t="s">
        <v>100</v>
      </c>
      <c r="C65" s="41">
        <v>3.0</v>
      </c>
      <c r="D65" s="42">
        <v>0.0</v>
      </c>
      <c r="E65" s="42">
        <f t="shared" si="2"/>
        <v>0.375</v>
      </c>
      <c r="F65" s="43">
        <f t="shared" si="3"/>
        <v>0</v>
      </c>
      <c r="G65" s="44">
        <f t="shared" si="4"/>
        <v>0.1875</v>
      </c>
      <c r="H65" s="45">
        <v>0.0597</v>
      </c>
      <c r="I65" s="42">
        <v>254.58</v>
      </c>
      <c r="J65" s="42">
        <v>98430.0</v>
      </c>
      <c r="K65" s="42">
        <v>7.510000000000005</v>
      </c>
      <c r="L65" s="46">
        <f t="shared" ref="L65:O65" si="72">(H65-MIN(H$2:H$76))/(MAX(H$2:H$76)-MIN(H$2:H$76))</f>
        <v>0.164556962</v>
      </c>
      <c r="M65" s="46">
        <f t="shared" si="72"/>
        <v>0.02674971779</v>
      </c>
      <c r="N65" s="46">
        <f t="shared" si="72"/>
        <v>0.2374139739</v>
      </c>
      <c r="O65" s="46">
        <f t="shared" si="72"/>
        <v>0.1556064073</v>
      </c>
      <c r="P65" s="47">
        <f t="shared" si="6"/>
        <v>0.1460817652</v>
      </c>
      <c r="Q65" s="48">
        <v>191.0</v>
      </c>
      <c r="R65" s="33">
        <v>99.56</v>
      </c>
      <c r="S65" s="49">
        <v>1.0</v>
      </c>
      <c r="T65" s="35">
        <f t="shared" si="7"/>
        <v>0.7721518987</v>
      </c>
      <c r="U65" s="50">
        <v>0.9757</v>
      </c>
      <c r="V65" s="35">
        <f t="shared" si="8"/>
        <v>1</v>
      </c>
      <c r="W65" s="51">
        <f t="shared" si="9"/>
        <v>0.9159506329</v>
      </c>
      <c r="X65" s="52">
        <f t="shared" si="10"/>
        <v>-0.5823688677</v>
      </c>
      <c r="Y65" s="39" t="str">
        <f t="shared" si="11"/>
        <v>Rendah</v>
      </c>
    </row>
    <row r="66" ht="14.25" customHeight="1">
      <c r="A66" s="40" t="s">
        <v>93</v>
      </c>
      <c r="B66" s="40" t="s">
        <v>101</v>
      </c>
      <c r="C66" s="41">
        <v>3.0</v>
      </c>
      <c r="D66" s="42">
        <v>0.0</v>
      </c>
      <c r="E66" s="42">
        <f t="shared" si="2"/>
        <v>0.375</v>
      </c>
      <c r="F66" s="43">
        <f t="shared" si="3"/>
        <v>0</v>
      </c>
      <c r="G66" s="44">
        <f t="shared" si="4"/>
        <v>0.1875</v>
      </c>
      <c r="H66" s="45">
        <v>0.061</v>
      </c>
      <c r="I66" s="42">
        <v>123.94</v>
      </c>
      <c r="J66" s="42">
        <v>69390.0</v>
      </c>
      <c r="K66" s="42">
        <v>29.17</v>
      </c>
      <c r="L66" s="46">
        <f t="shared" ref="L66:O66" si="73">(H66-MIN(H$2:H$76))/(MAX(H$2:H$76)-MIN(H$2:H$76))</f>
        <v>0.1711392405</v>
      </c>
      <c r="M66" s="46">
        <f t="shared" si="73"/>
        <v>0.01211946102</v>
      </c>
      <c r="N66" s="46">
        <f t="shared" si="73"/>
        <v>0.1620535205</v>
      </c>
      <c r="O66" s="46">
        <f t="shared" si="73"/>
        <v>0.6061992927</v>
      </c>
      <c r="P66" s="47">
        <f t="shared" si="6"/>
        <v>0.2378778787</v>
      </c>
      <c r="Q66" s="48">
        <v>107.0</v>
      </c>
      <c r="R66" s="33">
        <v>99.73</v>
      </c>
      <c r="S66" s="49">
        <v>0.9367</v>
      </c>
      <c r="T66" s="35">
        <f t="shared" si="7"/>
        <v>0.417721519</v>
      </c>
      <c r="U66" s="50">
        <v>0.9851</v>
      </c>
      <c r="V66" s="35">
        <f t="shared" si="8"/>
        <v>0.8489260143</v>
      </c>
      <c r="W66" s="51">
        <f t="shared" si="9"/>
        <v>0.7505825111</v>
      </c>
      <c r="X66" s="52">
        <f t="shared" si="10"/>
        <v>-0.3252046324</v>
      </c>
      <c r="Y66" s="39" t="str">
        <f t="shared" si="11"/>
        <v>Sedang</v>
      </c>
    </row>
    <row r="67" ht="14.25" customHeight="1">
      <c r="A67" s="40" t="s">
        <v>93</v>
      </c>
      <c r="B67" s="40" t="s">
        <v>102</v>
      </c>
      <c r="C67" s="41">
        <v>3.0</v>
      </c>
      <c r="D67" s="42">
        <v>1.0</v>
      </c>
      <c r="E67" s="42">
        <f t="shared" si="2"/>
        <v>0.375</v>
      </c>
      <c r="F67" s="43">
        <f t="shared" si="3"/>
        <v>1</v>
      </c>
      <c r="G67" s="44">
        <f t="shared" si="4"/>
        <v>0.6875</v>
      </c>
      <c r="H67" s="45">
        <v>0.0602</v>
      </c>
      <c r="I67" s="42">
        <v>82.75</v>
      </c>
      <c r="J67" s="42">
        <v>45398.0</v>
      </c>
      <c r="K67" s="42">
        <v>14.930000000000007</v>
      </c>
      <c r="L67" s="46">
        <f t="shared" ref="L67:O67" si="74">(H67-MIN(H$2:H$76))/(MAX(H$2:H$76)-MIN(H$2:H$76))</f>
        <v>0.1670886076</v>
      </c>
      <c r="M67" s="46">
        <f t="shared" si="74"/>
        <v>0.007506629755</v>
      </c>
      <c r="N67" s="46">
        <f t="shared" si="74"/>
        <v>0.09979291446</v>
      </c>
      <c r="O67" s="46">
        <f t="shared" si="74"/>
        <v>0.3099646349</v>
      </c>
      <c r="P67" s="47">
        <f t="shared" si="6"/>
        <v>0.1460881967</v>
      </c>
      <c r="Q67" s="48">
        <v>75.0</v>
      </c>
      <c r="R67" s="33">
        <v>99.75</v>
      </c>
      <c r="S67" s="49">
        <v>0.8387</v>
      </c>
      <c r="T67" s="35">
        <f t="shared" si="7"/>
        <v>0.2827004219</v>
      </c>
      <c r="U67" s="50">
        <v>0.9862</v>
      </c>
      <c r="V67" s="35">
        <f t="shared" si="8"/>
        <v>0.6150357995</v>
      </c>
      <c r="W67" s="51">
        <f t="shared" si="9"/>
        <v>0.6279787405</v>
      </c>
      <c r="X67" s="52">
        <f t="shared" si="10"/>
        <v>0.2056094562</v>
      </c>
      <c r="Y67" s="39" t="str">
        <f t="shared" si="11"/>
        <v>Sangat Tinggi</v>
      </c>
    </row>
    <row r="68" ht="14.25" customHeight="1">
      <c r="A68" s="40" t="s">
        <v>93</v>
      </c>
      <c r="B68" s="40" t="s">
        <v>103</v>
      </c>
      <c r="C68" s="41">
        <v>4.0</v>
      </c>
      <c r="D68" s="42">
        <v>0.0</v>
      </c>
      <c r="E68" s="42">
        <f t="shared" si="2"/>
        <v>0.5</v>
      </c>
      <c r="F68" s="43">
        <f t="shared" si="3"/>
        <v>0</v>
      </c>
      <c r="G68" s="44">
        <f t="shared" si="4"/>
        <v>0.25</v>
      </c>
      <c r="H68" s="45">
        <v>0.06</v>
      </c>
      <c r="I68" s="42">
        <v>60.48</v>
      </c>
      <c r="J68" s="42">
        <v>28395.0</v>
      </c>
      <c r="K68" s="42">
        <v>17.930000000000007</v>
      </c>
      <c r="L68" s="46">
        <f t="shared" ref="L68:O68" si="75">(H68-MIN(H$2:H$76))/(MAX(H$2:H$76)-MIN(H$2:H$76))</f>
        <v>0.1660759494</v>
      </c>
      <c r="M68" s="46">
        <f t="shared" si="75"/>
        <v>0.005012632371</v>
      </c>
      <c r="N68" s="46">
        <f t="shared" si="75"/>
        <v>0.05566916138</v>
      </c>
      <c r="O68" s="46">
        <f t="shared" si="75"/>
        <v>0.3723736218</v>
      </c>
      <c r="P68" s="47">
        <f t="shared" si="6"/>
        <v>0.1497828412</v>
      </c>
      <c r="Q68" s="48">
        <v>65.0</v>
      </c>
      <c r="R68" s="33">
        <v>99.27</v>
      </c>
      <c r="S68" s="49">
        <v>0.8085</v>
      </c>
      <c r="T68" s="35">
        <f t="shared" si="7"/>
        <v>0.2405063291</v>
      </c>
      <c r="U68" s="50">
        <v>0.9596</v>
      </c>
      <c r="V68" s="35">
        <f t="shared" si="8"/>
        <v>0.5429594272</v>
      </c>
      <c r="W68" s="51">
        <f t="shared" si="9"/>
        <v>0.5810219188</v>
      </c>
      <c r="X68" s="52">
        <f t="shared" si="10"/>
        <v>-0.1812390775</v>
      </c>
      <c r="Y68" s="39" t="str">
        <f t="shared" si="11"/>
        <v>Tinggi</v>
      </c>
    </row>
    <row r="69" ht="14.25" customHeight="1">
      <c r="A69" s="40" t="s">
        <v>93</v>
      </c>
      <c r="B69" s="40" t="s">
        <v>104</v>
      </c>
      <c r="C69" s="41">
        <v>4.0</v>
      </c>
      <c r="D69" s="42">
        <v>0.0</v>
      </c>
      <c r="E69" s="42">
        <f t="shared" si="2"/>
        <v>0.5</v>
      </c>
      <c r="F69" s="43">
        <f t="shared" si="3"/>
        <v>0</v>
      </c>
      <c r="G69" s="44">
        <f t="shared" si="4"/>
        <v>0.25</v>
      </c>
      <c r="H69" s="45">
        <v>0.0461</v>
      </c>
      <c r="I69" s="42">
        <v>84.94</v>
      </c>
      <c r="J69" s="42">
        <v>35169.0</v>
      </c>
      <c r="K69" s="42">
        <v>30.650000000000006</v>
      </c>
      <c r="L69" s="46">
        <f t="shared" ref="L69:O69" si="76">(H69-MIN(H$2:H$76))/(MAX(H$2:H$76)-MIN(H$2:H$76))</f>
        <v>0.09569620253</v>
      </c>
      <c r="M69" s="46">
        <f t="shared" si="76"/>
        <v>0.007751885897</v>
      </c>
      <c r="N69" s="46">
        <f t="shared" si="76"/>
        <v>0.07324807706</v>
      </c>
      <c r="O69" s="46">
        <f t="shared" si="76"/>
        <v>0.6369877262</v>
      </c>
      <c r="P69" s="47">
        <f t="shared" si="6"/>
        <v>0.2034209729</v>
      </c>
      <c r="Q69" s="48">
        <v>83.0</v>
      </c>
      <c r="R69" s="33">
        <v>99.96</v>
      </c>
      <c r="S69" s="49">
        <v>0.8846</v>
      </c>
      <c r="T69" s="35">
        <f t="shared" si="7"/>
        <v>0.3164556962</v>
      </c>
      <c r="U69" s="50">
        <v>0.9978</v>
      </c>
      <c r="V69" s="35">
        <f t="shared" si="8"/>
        <v>0.7245823389</v>
      </c>
      <c r="W69" s="51">
        <f t="shared" si="9"/>
        <v>0.6796126784</v>
      </c>
      <c r="X69" s="52">
        <f t="shared" si="10"/>
        <v>-0.2261917054</v>
      </c>
      <c r="Y69" s="39" t="str">
        <f t="shared" si="11"/>
        <v>Sedang</v>
      </c>
    </row>
    <row r="70" ht="14.25" customHeight="1">
      <c r="A70" s="40" t="s">
        <v>93</v>
      </c>
      <c r="B70" s="40" t="s">
        <v>105</v>
      </c>
      <c r="C70" s="41">
        <v>1.0</v>
      </c>
      <c r="D70" s="42">
        <v>0.0</v>
      </c>
      <c r="E70" s="42">
        <f t="shared" si="2"/>
        <v>0.125</v>
      </c>
      <c r="F70" s="43">
        <f t="shared" si="3"/>
        <v>0</v>
      </c>
      <c r="G70" s="44">
        <f t="shared" si="4"/>
        <v>0.0625</v>
      </c>
      <c r="H70" s="45">
        <v>0.063</v>
      </c>
      <c r="I70" s="42">
        <v>120.11</v>
      </c>
      <c r="J70" s="42">
        <v>64983.0</v>
      </c>
      <c r="K70" s="42">
        <v>18.450000000000003</v>
      </c>
      <c r="L70" s="46">
        <f t="shared" ref="L70:O70" si="77">(H70-MIN(H$2:H$76))/(MAX(H$2:H$76)-MIN(H$2:H$76))</f>
        <v>0.1812658228</v>
      </c>
      <c r="M70" s="46">
        <f t="shared" si="77"/>
        <v>0.01169054274</v>
      </c>
      <c r="N70" s="46">
        <f t="shared" si="77"/>
        <v>0.1506171045</v>
      </c>
      <c r="O70" s="46">
        <f t="shared" si="77"/>
        <v>0.3831911795</v>
      </c>
      <c r="P70" s="47">
        <f t="shared" si="6"/>
        <v>0.1816911624</v>
      </c>
      <c r="Q70" s="48">
        <v>88.0</v>
      </c>
      <c r="R70" s="33">
        <v>99.73</v>
      </c>
      <c r="S70" s="49">
        <v>0.9778</v>
      </c>
      <c r="T70" s="35">
        <f t="shared" si="7"/>
        <v>0.3375527426</v>
      </c>
      <c r="U70" s="50">
        <v>0.9851</v>
      </c>
      <c r="V70" s="35">
        <f t="shared" si="8"/>
        <v>0.9470167064</v>
      </c>
      <c r="W70" s="51">
        <f t="shared" si="9"/>
        <v>0.756556483</v>
      </c>
      <c r="X70" s="52">
        <f t="shared" si="10"/>
        <v>-0.5123653206</v>
      </c>
      <c r="Y70" s="39" t="str">
        <f t="shared" si="11"/>
        <v>Rendah</v>
      </c>
    </row>
    <row r="71" ht="14.25" customHeight="1">
      <c r="A71" s="40" t="s">
        <v>93</v>
      </c>
      <c r="B71" s="40" t="s">
        <v>106</v>
      </c>
      <c r="C71" s="41">
        <v>1.0</v>
      </c>
      <c r="D71" s="42">
        <v>0.0</v>
      </c>
      <c r="E71" s="42">
        <f t="shared" si="2"/>
        <v>0.125</v>
      </c>
      <c r="F71" s="43">
        <f t="shared" si="3"/>
        <v>0</v>
      </c>
      <c r="G71" s="44">
        <f t="shared" si="4"/>
        <v>0.0625</v>
      </c>
      <c r="H71" s="45">
        <v>0.0363</v>
      </c>
      <c r="I71" s="42">
        <v>1389.89</v>
      </c>
      <c r="J71" s="42">
        <v>145914.0</v>
      </c>
      <c r="K71" s="42">
        <v>4.75</v>
      </c>
      <c r="L71" s="46">
        <f t="shared" ref="L71:O71" si="78">(H71-MIN(H$2:H$76))/(MAX(H$2:H$76)-MIN(H$2:H$76))</f>
        <v>0.04607594937</v>
      </c>
      <c r="M71" s="46">
        <f t="shared" si="78"/>
        <v>0.1538920694</v>
      </c>
      <c r="N71" s="46">
        <f t="shared" si="78"/>
        <v>0.3606376574</v>
      </c>
      <c r="O71" s="46">
        <f t="shared" si="78"/>
        <v>0.09819013938</v>
      </c>
      <c r="P71" s="47">
        <f t="shared" si="6"/>
        <v>0.1646989539</v>
      </c>
      <c r="Q71" s="48">
        <v>245.0</v>
      </c>
      <c r="R71" s="33">
        <v>99.97</v>
      </c>
      <c r="S71" s="49">
        <v>1.0</v>
      </c>
      <c r="T71" s="35">
        <f t="shared" si="7"/>
        <v>1</v>
      </c>
      <c r="U71" s="50">
        <v>0.9983</v>
      </c>
      <c r="V71" s="35">
        <f t="shared" si="8"/>
        <v>1</v>
      </c>
      <c r="W71" s="51">
        <f t="shared" si="9"/>
        <v>0.9994333333</v>
      </c>
      <c r="X71" s="52">
        <f t="shared" si="10"/>
        <v>-0.7722343795</v>
      </c>
      <c r="Y71" s="39" t="str">
        <f t="shared" si="11"/>
        <v>Rendah</v>
      </c>
    </row>
    <row r="72" ht="14.25" customHeight="1">
      <c r="A72" s="40" t="s">
        <v>93</v>
      </c>
      <c r="B72" s="40" t="s">
        <v>107</v>
      </c>
      <c r="C72" s="41">
        <v>2.0</v>
      </c>
      <c r="D72" s="42">
        <v>0.0</v>
      </c>
      <c r="E72" s="42">
        <f t="shared" si="2"/>
        <v>0.25</v>
      </c>
      <c r="F72" s="43">
        <f t="shared" si="3"/>
        <v>0</v>
      </c>
      <c r="G72" s="44">
        <f t="shared" si="4"/>
        <v>0.125</v>
      </c>
      <c r="H72" s="45">
        <v>0.0291</v>
      </c>
      <c r="I72" s="42">
        <v>1380.43</v>
      </c>
      <c r="J72" s="42">
        <v>11572.0</v>
      </c>
      <c r="K72" s="42">
        <v>4.650000000000006</v>
      </c>
      <c r="L72" s="46">
        <f t="shared" ref="L72:O72" si="79">(H72-MIN(H$2:H$76))/(MAX(H$2:H$76)-MIN(H$2:H$76))</f>
        <v>0.009620253165</v>
      </c>
      <c r="M72" s="46">
        <f t="shared" si="79"/>
        <v>0.1528326524</v>
      </c>
      <c r="N72" s="46">
        <f t="shared" si="79"/>
        <v>0.01201251855</v>
      </c>
      <c r="O72" s="46">
        <f t="shared" si="79"/>
        <v>0.09610983982</v>
      </c>
      <c r="P72" s="47">
        <f t="shared" si="6"/>
        <v>0.06764381599</v>
      </c>
      <c r="Q72" s="48">
        <v>40.0</v>
      </c>
      <c r="R72" s="33">
        <v>99.64</v>
      </c>
      <c r="S72" s="49">
        <v>1.0</v>
      </c>
      <c r="T72" s="35">
        <f t="shared" si="7"/>
        <v>0.135021097</v>
      </c>
      <c r="U72" s="50">
        <v>0.9801</v>
      </c>
      <c r="V72" s="35">
        <f t="shared" si="8"/>
        <v>1</v>
      </c>
      <c r="W72" s="51">
        <f t="shared" si="9"/>
        <v>0.7050403657</v>
      </c>
      <c r="X72" s="52">
        <f t="shared" si="10"/>
        <v>-0.5123965497</v>
      </c>
      <c r="Y72" s="39" t="str">
        <f t="shared" si="11"/>
        <v>Rendah</v>
      </c>
    </row>
    <row r="73" ht="14.25" customHeight="1">
      <c r="A73" s="40" t="s">
        <v>93</v>
      </c>
      <c r="B73" s="40" t="s">
        <v>108</v>
      </c>
      <c r="C73" s="41">
        <v>0.0</v>
      </c>
      <c r="D73" s="42">
        <v>0.0</v>
      </c>
      <c r="E73" s="42">
        <f t="shared" si="2"/>
        <v>0</v>
      </c>
      <c r="F73" s="43">
        <f t="shared" si="3"/>
        <v>0</v>
      </c>
      <c r="G73" s="44">
        <f t="shared" si="4"/>
        <v>0</v>
      </c>
      <c r="H73" s="45">
        <v>0.0272</v>
      </c>
      <c r="I73" s="42">
        <v>300.48</v>
      </c>
      <c r="J73" s="42">
        <v>10755.0</v>
      </c>
      <c r="K73" s="42">
        <v>9.969999999999999</v>
      </c>
      <c r="L73" s="46">
        <f t="shared" ref="L73:O73" si="80">(H73-MIN(H$2:H$76))/(MAX(H$2:H$76)-MIN(H$2:H$76))</f>
        <v>0</v>
      </c>
      <c r="M73" s="46">
        <f t="shared" si="80"/>
        <v>0.03189001774</v>
      </c>
      <c r="N73" s="46">
        <f t="shared" si="80"/>
        <v>0.009892357038</v>
      </c>
      <c r="O73" s="46">
        <f t="shared" si="80"/>
        <v>0.2067817766</v>
      </c>
      <c r="P73" s="47">
        <f t="shared" si="6"/>
        <v>0.06214103784</v>
      </c>
      <c r="Q73" s="48">
        <v>47.0</v>
      </c>
      <c r="R73" s="33">
        <v>99.76</v>
      </c>
      <c r="S73" s="49">
        <v>0.9737</v>
      </c>
      <c r="T73" s="35">
        <f t="shared" si="7"/>
        <v>0.164556962</v>
      </c>
      <c r="U73" s="50">
        <v>0.9867</v>
      </c>
      <c r="V73" s="35">
        <f t="shared" si="8"/>
        <v>0.9372315036</v>
      </c>
      <c r="W73" s="51">
        <f t="shared" si="9"/>
        <v>0.6961628219</v>
      </c>
      <c r="X73" s="52">
        <f t="shared" si="10"/>
        <v>-0.634021784</v>
      </c>
      <c r="Y73" s="39" t="str">
        <f t="shared" si="11"/>
        <v>Rendah</v>
      </c>
    </row>
    <row r="74" ht="14.25" customHeight="1">
      <c r="A74" s="40" t="s">
        <v>93</v>
      </c>
      <c r="B74" s="40" t="s">
        <v>109</v>
      </c>
      <c r="C74" s="41">
        <v>1.0</v>
      </c>
      <c r="D74" s="42">
        <v>0.0</v>
      </c>
      <c r="E74" s="42">
        <f t="shared" si="2"/>
        <v>0.125</v>
      </c>
      <c r="F74" s="43">
        <f t="shared" si="3"/>
        <v>0</v>
      </c>
      <c r="G74" s="44">
        <f t="shared" si="4"/>
        <v>0.0625</v>
      </c>
      <c r="H74" s="45">
        <v>0.0497</v>
      </c>
      <c r="I74" s="42">
        <v>2557.89</v>
      </c>
      <c r="J74" s="42">
        <v>9595.0</v>
      </c>
      <c r="K74" s="42">
        <v>0.6099999999999994</v>
      </c>
      <c r="L74" s="46">
        <f t="shared" ref="L74:O74" si="81">(H74-MIN(H$2:H$76))/(MAX(H$2:H$76)-MIN(H$2:H$76))</f>
        <v>0.1139240506</v>
      </c>
      <c r="M74" s="46">
        <f t="shared" si="81"/>
        <v>0.2846953448</v>
      </c>
      <c r="N74" s="46">
        <f t="shared" si="81"/>
        <v>0.006882090993</v>
      </c>
      <c r="O74" s="46">
        <f t="shared" si="81"/>
        <v>0.01206573747</v>
      </c>
      <c r="P74" s="47">
        <f t="shared" si="6"/>
        <v>0.104391806</v>
      </c>
      <c r="Q74" s="48">
        <v>30.0</v>
      </c>
      <c r="R74" s="33">
        <v>100.0</v>
      </c>
      <c r="S74" s="49">
        <v>1.0</v>
      </c>
      <c r="T74" s="35">
        <f t="shared" si="7"/>
        <v>0.09282700422</v>
      </c>
      <c r="U74" s="50">
        <v>1.0</v>
      </c>
      <c r="V74" s="35">
        <f t="shared" si="8"/>
        <v>1</v>
      </c>
      <c r="W74" s="57">
        <f t="shared" si="9"/>
        <v>0.6976090014</v>
      </c>
      <c r="X74" s="52">
        <f t="shared" si="10"/>
        <v>-0.5307171954</v>
      </c>
      <c r="Y74" s="39" t="str">
        <f t="shared" si="11"/>
        <v>Rendah</v>
      </c>
    </row>
    <row r="75" ht="14.25" customHeight="1">
      <c r="A75" s="40" t="s">
        <v>93</v>
      </c>
      <c r="B75" s="40" t="s">
        <v>110</v>
      </c>
      <c r="C75" s="41">
        <v>2.0</v>
      </c>
      <c r="D75" s="42">
        <v>0.0</v>
      </c>
      <c r="E75" s="42">
        <f t="shared" si="2"/>
        <v>0.25</v>
      </c>
      <c r="F75" s="43">
        <f t="shared" si="3"/>
        <v>0</v>
      </c>
      <c r="G75" s="44">
        <f t="shared" si="4"/>
        <v>0.125</v>
      </c>
      <c r="H75" s="45">
        <v>0.0378</v>
      </c>
      <c r="I75" s="42">
        <v>5209.12</v>
      </c>
      <c r="J75" s="42">
        <v>20509.0</v>
      </c>
      <c r="K75" s="42">
        <v>0.030000000000001137</v>
      </c>
      <c r="L75" s="46">
        <f t="shared" ref="L75:O75" si="82">(H75-MIN(H$2:H$76))/(MAX(H$2:H$76)-MIN(H$2:H$76))</f>
        <v>0.05367088608</v>
      </c>
      <c r="M75" s="46">
        <f t="shared" si="82"/>
        <v>0.5816042215</v>
      </c>
      <c r="N75" s="46">
        <f t="shared" si="82"/>
        <v>0.03520454239</v>
      </c>
      <c r="O75" s="46">
        <f t="shared" si="82"/>
        <v>0</v>
      </c>
      <c r="P75" s="47">
        <f t="shared" si="6"/>
        <v>0.1676199125</v>
      </c>
      <c r="Q75" s="48">
        <v>46.0</v>
      </c>
      <c r="R75" s="33">
        <v>100.0</v>
      </c>
      <c r="S75" s="49">
        <v>1.0</v>
      </c>
      <c r="T75" s="35">
        <f t="shared" si="7"/>
        <v>0.1603375527</v>
      </c>
      <c r="U75" s="50">
        <v>1.0</v>
      </c>
      <c r="V75" s="35">
        <f t="shared" si="8"/>
        <v>1</v>
      </c>
      <c r="W75" s="51">
        <f t="shared" si="9"/>
        <v>0.7201125176</v>
      </c>
      <c r="X75" s="52">
        <f t="shared" si="10"/>
        <v>-0.4274926051</v>
      </c>
      <c r="Y75" s="39" t="str">
        <f t="shared" si="11"/>
        <v>Sedang</v>
      </c>
    </row>
    <row r="76" ht="14.25" customHeight="1">
      <c r="A76" s="40" t="s">
        <v>93</v>
      </c>
      <c r="B76" s="40" t="s">
        <v>111</v>
      </c>
      <c r="C76" s="41">
        <v>0.0</v>
      </c>
      <c r="D76" s="42">
        <v>0.0</v>
      </c>
      <c r="E76" s="42">
        <f t="shared" si="2"/>
        <v>0</v>
      </c>
      <c r="F76" s="43">
        <f t="shared" si="3"/>
        <v>0</v>
      </c>
      <c r="G76" s="44">
        <f t="shared" si="4"/>
        <v>0</v>
      </c>
      <c r="H76" s="45">
        <v>0.0495</v>
      </c>
      <c r="I76" s="42">
        <v>1993.2</v>
      </c>
      <c r="J76" s="42">
        <v>24181.0</v>
      </c>
      <c r="K76" s="42">
        <v>1.9500000000000028</v>
      </c>
      <c r="L76" s="46">
        <f t="shared" ref="L76:O76" si="83">(H76-MIN(H$2:H$76))/(MAX(H$2:H$76)-MIN(H$2:H$76))</f>
        <v>0.1129113924</v>
      </c>
      <c r="M76" s="46">
        <f t="shared" si="83"/>
        <v>0.2214562167</v>
      </c>
      <c r="N76" s="46">
        <f t="shared" si="83"/>
        <v>0.04473359145</v>
      </c>
      <c r="O76" s="46">
        <f t="shared" si="83"/>
        <v>0.03994175161</v>
      </c>
      <c r="P76" s="47">
        <f t="shared" si="6"/>
        <v>0.1047607381</v>
      </c>
      <c r="Q76" s="48">
        <v>60.0</v>
      </c>
      <c r="R76" s="33">
        <v>100.0</v>
      </c>
      <c r="S76" s="49">
        <v>1.0</v>
      </c>
      <c r="T76" s="35">
        <f t="shared" si="7"/>
        <v>0.2194092827</v>
      </c>
      <c r="U76" s="50">
        <v>1.0</v>
      </c>
      <c r="V76" s="35">
        <f t="shared" si="8"/>
        <v>1</v>
      </c>
      <c r="W76" s="57">
        <f t="shared" si="9"/>
        <v>0.7398030942</v>
      </c>
      <c r="X76" s="52">
        <f t="shared" si="10"/>
        <v>-0.6350423562</v>
      </c>
      <c r="Y76" s="39" t="str">
        <f t="shared" si="11"/>
        <v>Rendah</v>
      </c>
    </row>
    <row r="77" ht="14.25" customHeight="1">
      <c r="A77" s="58" t="s">
        <v>93</v>
      </c>
      <c r="B77" s="58" t="s">
        <v>112</v>
      </c>
      <c r="C77" s="59">
        <v>1.0</v>
      </c>
      <c r="D77" s="60">
        <v>0.0</v>
      </c>
      <c r="E77" s="60">
        <f t="shared" si="2"/>
        <v>0.125</v>
      </c>
      <c r="F77" s="61">
        <f t="shared" si="3"/>
        <v>0</v>
      </c>
      <c r="G77" s="62">
        <f t="shared" si="4"/>
        <v>0.0625</v>
      </c>
      <c r="H77" s="63">
        <v>0.0383</v>
      </c>
      <c r="I77" s="60">
        <v>1535.41</v>
      </c>
      <c r="J77" s="60">
        <v>16632.0</v>
      </c>
      <c r="K77" s="60">
        <v>3.480000000000004</v>
      </c>
      <c r="L77" s="64">
        <f t="shared" ref="L77:O77" si="84">(H77-MIN(H$2:H$76))/(MAX(H$2:H$76)-MIN(H$2:H$76))</f>
        <v>0.05620253165</v>
      </c>
      <c r="M77" s="64">
        <f t="shared" si="84"/>
        <v>0.170188724</v>
      </c>
      <c r="N77" s="64">
        <f t="shared" si="84"/>
        <v>0.02514350665</v>
      </c>
      <c r="O77" s="64">
        <f t="shared" si="84"/>
        <v>0.07177033493</v>
      </c>
      <c r="P77" s="65">
        <f t="shared" si="6"/>
        <v>0.08082627432</v>
      </c>
      <c r="Q77" s="66">
        <v>37.0</v>
      </c>
      <c r="R77" s="33">
        <v>100.0</v>
      </c>
      <c r="S77" s="67">
        <v>0.9859</v>
      </c>
      <c r="T77" s="68">
        <f t="shared" si="7"/>
        <v>0.1223628692</v>
      </c>
      <c r="U77" s="50">
        <v>1.0</v>
      </c>
      <c r="V77" s="68">
        <f t="shared" si="8"/>
        <v>0.9663484487</v>
      </c>
      <c r="W77" s="69">
        <f t="shared" si="9"/>
        <v>0.696237106</v>
      </c>
      <c r="X77" s="70">
        <f t="shared" si="10"/>
        <v>-0.5529108316</v>
      </c>
      <c r="Y77" s="39" t="str">
        <f t="shared" si="11"/>
        <v>Rendah</v>
      </c>
    </row>
    <row r="78" ht="14.25" customHeight="1">
      <c r="A78" s="71"/>
      <c r="B78" s="71"/>
      <c r="G78" s="72"/>
      <c r="X78" s="73"/>
    </row>
    <row r="79" ht="14.25" customHeight="1">
      <c r="A79" s="71"/>
      <c r="B79" s="71"/>
      <c r="G79" s="72"/>
      <c r="X79" s="73"/>
    </row>
    <row r="80" ht="14.25" customHeight="1">
      <c r="A80" s="71"/>
      <c r="B80" s="71"/>
      <c r="G80" s="72"/>
      <c r="X80" s="73"/>
    </row>
    <row r="81" ht="14.25" customHeight="1">
      <c r="A81" s="71"/>
      <c r="B81" s="71"/>
      <c r="G81" s="72"/>
      <c r="X81" s="73"/>
    </row>
    <row r="82" ht="14.25" customHeight="1">
      <c r="A82" s="71"/>
      <c r="B82" s="71"/>
      <c r="G82" s="72"/>
      <c r="X82" s="73"/>
    </row>
    <row r="83" ht="14.25" customHeight="1">
      <c r="A83" s="71"/>
      <c r="B83" s="71"/>
      <c r="G83" s="72"/>
      <c r="X83" s="73"/>
    </row>
    <row r="84" ht="14.25" customHeight="1">
      <c r="A84" s="71"/>
      <c r="B84" s="71"/>
      <c r="G84" s="72"/>
      <c r="X84" s="73"/>
    </row>
    <row r="85" ht="14.25" customHeight="1">
      <c r="A85" s="71"/>
      <c r="B85" s="71"/>
      <c r="G85" s="72"/>
      <c r="X85" s="73"/>
    </row>
    <row r="86" ht="14.25" customHeight="1">
      <c r="A86" s="71"/>
      <c r="B86" s="71"/>
      <c r="G86" s="72"/>
      <c r="X86" s="73"/>
    </row>
    <row r="87" ht="14.25" customHeight="1">
      <c r="A87" s="71"/>
      <c r="B87" s="71"/>
      <c r="G87" s="72"/>
      <c r="X87" s="73"/>
    </row>
    <row r="88" ht="14.25" customHeight="1">
      <c r="A88" s="71"/>
      <c r="B88" s="71"/>
      <c r="G88" s="72"/>
      <c r="X88" s="73"/>
    </row>
    <row r="89" ht="14.25" customHeight="1">
      <c r="A89" s="71"/>
      <c r="B89" s="71"/>
      <c r="G89" s="72"/>
      <c r="X89" s="73"/>
    </row>
    <row r="90" ht="14.25" customHeight="1">
      <c r="A90" s="71"/>
      <c r="B90" s="71"/>
      <c r="G90" s="72"/>
      <c r="X90" s="73"/>
    </row>
    <row r="91" ht="14.25" customHeight="1">
      <c r="A91" s="71"/>
      <c r="B91" s="71"/>
      <c r="G91" s="72"/>
      <c r="X91" s="73"/>
    </row>
    <row r="92" ht="14.25" customHeight="1">
      <c r="A92" s="71"/>
      <c r="B92" s="71"/>
      <c r="G92" s="72"/>
      <c r="X92" s="73"/>
    </row>
    <row r="93" ht="14.25" customHeight="1">
      <c r="A93" s="71"/>
      <c r="B93" s="71"/>
      <c r="G93" s="72"/>
      <c r="X93" s="73"/>
    </row>
    <row r="94" ht="14.25" customHeight="1">
      <c r="A94" s="71"/>
      <c r="B94" s="71"/>
      <c r="G94" s="72"/>
      <c r="X94" s="73"/>
    </row>
    <row r="95" ht="14.25" customHeight="1">
      <c r="A95" s="71"/>
      <c r="B95" s="71"/>
      <c r="G95" s="72"/>
      <c r="X95" s="73"/>
    </row>
    <row r="96" ht="14.25" customHeight="1">
      <c r="A96" s="71"/>
      <c r="B96" s="71"/>
      <c r="G96" s="72"/>
      <c r="X96" s="73"/>
    </row>
    <row r="97" ht="14.25" customHeight="1">
      <c r="A97" s="71"/>
      <c r="B97" s="71"/>
      <c r="G97" s="72"/>
      <c r="X97" s="73"/>
    </row>
    <row r="98" ht="14.25" customHeight="1">
      <c r="A98" s="71"/>
      <c r="B98" s="71"/>
      <c r="G98" s="72"/>
      <c r="X98" s="73"/>
    </row>
    <row r="99" ht="14.25" customHeight="1">
      <c r="A99" s="71"/>
      <c r="B99" s="71"/>
      <c r="G99" s="72"/>
      <c r="X99" s="73"/>
    </row>
    <row r="100" ht="14.25" customHeight="1">
      <c r="A100" s="71"/>
      <c r="B100" s="71"/>
      <c r="G100" s="72"/>
      <c r="X100" s="73"/>
    </row>
    <row r="101" ht="14.25" customHeight="1">
      <c r="A101" s="71"/>
      <c r="B101" s="71"/>
      <c r="G101" s="72"/>
      <c r="X101" s="73"/>
    </row>
    <row r="102" ht="14.25" customHeight="1">
      <c r="A102" s="71"/>
      <c r="B102" s="71"/>
      <c r="G102" s="72"/>
      <c r="X102" s="73"/>
    </row>
    <row r="103" ht="14.25" customHeight="1">
      <c r="A103" s="71"/>
      <c r="B103" s="71"/>
      <c r="G103" s="72"/>
      <c r="X103" s="73"/>
    </row>
    <row r="104" ht="14.25" customHeight="1">
      <c r="A104" s="71"/>
      <c r="B104" s="71"/>
      <c r="G104" s="72"/>
      <c r="X104" s="73"/>
    </row>
    <row r="105" ht="14.25" customHeight="1">
      <c r="A105" s="71"/>
      <c r="B105" s="71"/>
      <c r="G105" s="72"/>
      <c r="X105" s="73"/>
    </row>
    <row r="106" ht="14.25" customHeight="1">
      <c r="A106" s="71"/>
      <c r="B106" s="71"/>
      <c r="G106" s="72"/>
      <c r="X106" s="73"/>
    </row>
    <row r="107" ht="14.25" customHeight="1">
      <c r="A107" s="71"/>
      <c r="B107" s="71"/>
      <c r="G107" s="72"/>
      <c r="X107" s="73"/>
    </row>
    <row r="108" ht="14.25" customHeight="1">
      <c r="A108" s="71"/>
      <c r="B108" s="71"/>
      <c r="G108" s="72"/>
      <c r="X108" s="73"/>
    </row>
    <row r="109" ht="14.25" customHeight="1">
      <c r="A109" s="71"/>
      <c r="B109" s="71"/>
      <c r="G109" s="72"/>
      <c r="X109" s="73"/>
    </row>
    <row r="110" ht="14.25" customHeight="1">
      <c r="A110" s="71"/>
      <c r="B110" s="71"/>
      <c r="G110" s="72"/>
      <c r="X110" s="73"/>
    </row>
    <row r="111" ht="14.25" customHeight="1">
      <c r="A111" s="71"/>
      <c r="B111" s="71"/>
      <c r="G111" s="72"/>
      <c r="X111" s="73"/>
    </row>
    <row r="112" ht="14.25" customHeight="1">
      <c r="A112" s="71"/>
      <c r="B112" s="71"/>
      <c r="G112" s="72"/>
      <c r="X112" s="73"/>
    </row>
    <row r="113" ht="14.25" customHeight="1">
      <c r="A113" s="71"/>
      <c r="B113" s="71"/>
      <c r="G113" s="72"/>
      <c r="X113" s="73"/>
    </row>
    <row r="114" ht="14.25" customHeight="1">
      <c r="A114" s="71"/>
      <c r="B114" s="71"/>
      <c r="G114" s="72"/>
      <c r="X114" s="73"/>
    </row>
    <row r="115" ht="14.25" customHeight="1">
      <c r="A115" s="71"/>
      <c r="B115" s="71"/>
      <c r="G115" s="72"/>
      <c r="X115" s="73"/>
    </row>
    <row r="116" ht="14.25" customHeight="1">
      <c r="A116" s="71"/>
      <c r="B116" s="71"/>
      <c r="G116" s="72"/>
      <c r="X116" s="73"/>
    </row>
    <row r="117" ht="14.25" customHeight="1">
      <c r="A117" s="71"/>
      <c r="B117" s="71"/>
      <c r="G117" s="72"/>
      <c r="X117" s="73"/>
    </row>
    <row r="118" ht="14.25" customHeight="1">
      <c r="A118" s="71"/>
      <c r="B118" s="71"/>
      <c r="G118" s="72"/>
      <c r="X118" s="73"/>
    </row>
    <row r="119" ht="14.25" customHeight="1">
      <c r="A119" s="71"/>
      <c r="B119" s="71"/>
      <c r="G119" s="72"/>
      <c r="X119" s="73"/>
    </row>
    <row r="120" ht="14.25" customHeight="1">
      <c r="A120" s="71"/>
      <c r="B120" s="71"/>
      <c r="G120" s="72"/>
      <c r="X120" s="73"/>
    </row>
    <row r="121" ht="14.25" customHeight="1">
      <c r="A121" s="71"/>
      <c r="B121" s="71"/>
      <c r="G121" s="72"/>
      <c r="X121" s="73"/>
    </row>
    <row r="122" ht="14.25" customHeight="1">
      <c r="A122" s="71"/>
      <c r="B122" s="71"/>
      <c r="G122" s="72"/>
      <c r="X122" s="73"/>
    </row>
    <row r="123" ht="14.25" customHeight="1">
      <c r="A123" s="71"/>
      <c r="B123" s="71"/>
      <c r="G123" s="72"/>
      <c r="X123" s="73"/>
    </row>
    <row r="124" ht="14.25" customHeight="1">
      <c r="A124" s="71"/>
      <c r="B124" s="71"/>
      <c r="G124" s="72"/>
      <c r="X124" s="73"/>
    </row>
    <row r="125" ht="14.25" customHeight="1">
      <c r="A125" s="71"/>
      <c r="B125" s="71"/>
      <c r="G125" s="72"/>
      <c r="X125" s="73"/>
    </row>
    <row r="126" ht="14.25" customHeight="1">
      <c r="A126" s="71"/>
      <c r="B126" s="71"/>
      <c r="G126" s="72"/>
      <c r="X126" s="73"/>
    </row>
    <row r="127" ht="14.25" customHeight="1">
      <c r="A127" s="71"/>
      <c r="B127" s="71"/>
      <c r="G127" s="72"/>
      <c r="X127" s="73"/>
    </row>
    <row r="128" ht="14.25" customHeight="1">
      <c r="A128" s="71"/>
      <c r="B128" s="71"/>
      <c r="G128" s="72"/>
      <c r="X128" s="73"/>
    </row>
    <row r="129" ht="14.25" customHeight="1">
      <c r="A129" s="71"/>
      <c r="B129" s="71"/>
      <c r="G129" s="72"/>
      <c r="X129" s="73"/>
    </row>
    <row r="130" ht="14.25" customHeight="1">
      <c r="A130" s="71"/>
      <c r="B130" s="71"/>
      <c r="G130" s="72"/>
      <c r="X130" s="73"/>
    </row>
    <row r="131" ht="14.25" customHeight="1">
      <c r="A131" s="71"/>
      <c r="B131" s="71"/>
      <c r="G131" s="72"/>
      <c r="X131" s="73"/>
    </row>
    <row r="132" ht="14.25" customHeight="1">
      <c r="A132" s="71"/>
      <c r="B132" s="71"/>
      <c r="G132" s="72"/>
      <c r="X132" s="73"/>
    </row>
    <row r="133" ht="14.25" customHeight="1">
      <c r="A133" s="71"/>
      <c r="B133" s="71"/>
      <c r="G133" s="72"/>
      <c r="X133" s="73"/>
    </row>
    <row r="134" ht="14.25" customHeight="1">
      <c r="A134" s="71"/>
      <c r="B134" s="71"/>
      <c r="G134" s="72"/>
      <c r="X134" s="73"/>
    </row>
    <row r="135" ht="14.25" customHeight="1">
      <c r="A135" s="71"/>
      <c r="B135" s="71"/>
      <c r="G135" s="72"/>
      <c r="X135" s="73"/>
    </row>
    <row r="136" ht="14.25" customHeight="1">
      <c r="A136" s="71"/>
      <c r="B136" s="71"/>
      <c r="G136" s="72"/>
      <c r="X136" s="73"/>
    </row>
    <row r="137" ht="14.25" customHeight="1">
      <c r="A137" s="71"/>
      <c r="B137" s="71"/>
      <c r="G137" s="72"/>
      <c r="X137" s="73"/>
    </row>
    <row r="138" ht="14.25" customHeight="1">
      <c r="A138" s="71"/>
      <c r="B138" s="71"/>
      <c r="G138" s="72"/>
      <c r="X138" s="73"/>
    </row>
    <row r="139" ht="14.25" customHeight="1">
      <c r="A139" s="71"/>
      <c r="B139" s="71"/>
      <c r="G139" s="72"/>
      <c r="X139" s="73"/>
    </row>
    <row r="140" ht="14.25" customHeight="1">
      <c r="A140" s="71"/>
      <c r="B140" s="71"/>
      <c r="G140" s="72"/>
      <c r="X140" s="73"/>
    </row>
    <row r="141" ht="14.25" customHeight="1">
      <c r="A141" s="71"/>
      <c r="B141" s="71"/>
      <c r="G141" s="72"/>
      <c r="X141" s="73"/>
    </row>
    <row r="142" ht="14.25" customHeight="1">
      <c r="A142" s="71"/>
      <c r="B142" s="71"/>
      <c r="G142" s="72"/>
      <c r="X142" s="73"/>
    </row>
    <row r="143" ht="14.25" customHeight="1">
      <c r="A143" s="71"/>
      <c r="B143" s="71"/>
      <c r="G143" s="72"/>
      <c r="X143" s="73"/>
    </row>
    <row r="144" ht="14.25" customHeight="1">
      <c r="A144" s="71"/>
      <c r="B144" s="71"/>
      <c r="G144" s="72"/>
      <c r="X144" s="73"/>
    </row>
    <row r="145" ht="14.25" customHeight="1">
      <c r="A145" s="71"/>
      <c r="B145" s="71"/>
      <c r="G145" s="72"/>
      <c r="X145" s="73"/>
    </row>
    <row r="146" ht="14.25" customHeight="1">
      <c r="A146" s="71"/>
      <c r="B146" s="71"/>
      <c r="G146" s="72"/>
      <c r="X146" s="73"/>
    </row>
    <row r="147" ht="14.25" customHeight="1">
      <c r="A147" s="71"/>
      <c r="B147" s="71"/>
      <c r="G147" s="72"/>
      <c r="X147" s="73"/>
    </row>
    <row r="148" ht="14.25" customHeight="1">
      <c r="A148" s="71"/>
      <c r="B148" s="71"/>
      <c r="G148" s="72"/>
      <c r="X148" s="73"/>
    </row>
    <row r="149" ht="14.25" customHeight="1">
      <c r="A149" s="71"/>
      <c r="B149" s="71"/>
      <c r="G149" s="72"/>
      <c r="X149" s="73"/>
    </row>
    <row r="150" ht="14.25" customHeight="1">
      <c r="A150" s="71"/>
      <c r="B150" s="71"/>
      <c r="G150" s="72"/>
      <c r="X150" s="73"/>
    </row>
    <row r="151" ht="14.25" customHeight="1">
      <c r="A151" s="71"/>
      <c r="B151" s="71"/>
      <c r="G151" s="72"/>
      <c r="X151" s="73"/>
    </row>
    <row r="152" ht="14.25" customHeight="1">
      <c r="A152" s="71"/>
      <c r="B152" s="71"/>
      <c r="G152" s="72"/>
      <c r="X152" s="73"/>
    </row>
    <row r="153" ht="14.25" customHeight="1">
      <c r="A153" s="71"/>
      <c r="B153" s="71"/>
      <c r="G153" s="72"/>
      <c r="X153" s="73"/>
    </row>
    <row r="154" ht="14.25" customHeight="1">
      <c r="A154" s="71"/>
      <c r="B154" s="71"/>
      <c r="G154" s="72"/>
      <c r="X154" s="73"/>
    </row>
    <row r="155" ht="14.25" customHeight="1">
      <c r="A155" s="71"/>
      <c r="B155" s="71"/>
      <c r="G155" s="72"/>
      <c r="X155" s="73"/>
    </row>
    <row r="156" ht="14.25" customHeight="1">
      <c r="A156" s="71"/>
      <c r="B156" s="71"/>
      <c r="G156" s="72"/>
      <c r="X156" s="73"/>
    </row>
    <row r="157" ht="14.25" customHeight="1">
      <c r="A157" s="71"/>
      <c r="B157" s="71"/>
      <c r="G157" s="72"/>
      <c r="X157" s="73"/>
    </row>
    <row r="158" ht="14.25" customHeight="1">
      <c r="A158" s="71"/>
      <c r="B158" s="71"/>
      <c r="G158" s="72"/>
      <c r="X158" s="73"/>
    </row>
    <row r="159" ht="14.25" customHeight="1">
      <c r="A159" s="71"/>
      <c r="B159" s="71"/>
      <c r="G159" s="72"/>
      <c r="X159" s="73"/>
    </row>
    <row r="160" ht="14.25" customHeight="1">
      <c r="A160" s="71"/>
      <c r="B160" s="71"/>
      <c r="G160" s="72"/>
      <c r="X160" s="73"/>
    </row>
    <row r="161" ht="14.25" customHeight="1">
      <c r="A161" s="71"/>
      <c r="B161" s="71"/>
      <c r="G161" s="72"/>
      <c r="X161" s="73"/>
    </row>
    <row r="162" ht="14.25" customHeight="1">
      <c r="A162" s="71"/>
      <c r="B162" s="71"/>
      <c r="G162" s="72"/>
      <c r="X162" s="73"/>
    </row>
    <row r="163" ht="14.25" customHeight="1">
      <c r="A163" s="71"/>
      <c r="B163" s="71"/>
      <c r="G163" s="72"/>
      <c r="X163" s="73"/>
    </row>
    <row r="164" ht="14.25" customHeight="1">
      <c r="A164" s="71"/>
      <c r="B164" s="71"/>
      <c r="G164" s="72"/>
      <c r="X164" s="73"/>
    </row>
    <row r="165" ht="14.25" customHeight="1">
      <c r="A165" s="71"/>
      <c r="B165" s="71"/>
      <c r="G165" s="72"/>
      <c r="X165" s="73"/>
    </row>
    <row r="166" ht="14.25" customHeight="1">
      <c r="A166" s="71"/>
      <c r="B166" s="71"/>
      <c r="G166" s="72"/>
      <c r="X166" s="73"/>
    </row>
    <row r="167" ht="14.25" customHeight="1">
      <c r="A167" s="71"/>
      <c r="B167" s="71"/>
      <c r="G167" s="72"/>
      <c r="X167" s="73"/>
    </row>
    <row r="168" ht="14.25" customHeight="1">
      <c r="A168" s="71"/>
      <c r="B168" s="71"/>
      <c r="G168" s="72"/>
      <c r="X168" s="73"/>
    </row>
    <row r="169" ht="14.25" customHeight="1">
      <c r="A169" s="71"/>
      <c r="B169" s="71"/>
      <c r="G169" s="72"/>
      <c r="X169" s="73"/>
    </row>
    <row r="170" ht="14.25" customHeight="1">
      <c r="A170" s="71"/>
      <c r="B170" s="71"/>
      <c r="G170" s="72"/>
      <c r="X170" s="73"/>
    </row>
    <row r="171" ht="14.25" customHeight="1">
      <c r="A171" s="71"/>
      <c r="B171" s="71"/>
      <c r="G171" s="72"/>
      <c r="X171" s="73"/>
    </row>
    <row r="172" ht="14.25" customHeight="1">
      <c r="A172" s="71"/>
      <c r="B172" s="71"/>
      <c r="G172" s="72"/>
      <c r="X172" s="73"/>
    </row>
    <row r="173" ht="14.25" customHeight="1">
      <c r="A173" s="71"/>
      <c r="B173" s="71"/>
      <c r="G173" s="72"/>
      <c r="X173" s="73"/>
    </row>
    <row r="174" ht="14.25" customHeight="1">
      <c r="A174" s="71"/>
      <c r="B174" s="71"/>
      <c r="G174" s="72"/>
      <c r="X174" s="73"/>
    </row>
    <row r="175" ht="14.25" customHeight="1">
      <c r="A175" s="71"/>
      <c r="B175" s="71"/>
      <c r="G175" s="72"/>
      <c r="X175" s="73"/>
    </row>
    <row r="176" ht="14.25" customHeight="1">
      <c r="A176" s="71"/>
      <c r="B176" s="71"/>
      <c r="G176" s="72"/>
      <c r="X176" s="73"/>
    </row>
    <row r="177" ht="14.25" customHeight="1">
      <c r="A177" s="71"/>
      <c r="B177" s="71"/>
      <c r="G177" s="72"/>
      <c r="X177" s="73"/>
    </row>
    <row r="178" ht="14.25" customHeight="1">
      <c r="A178" s="71"/>
      <c r="B178" s="71"/>
      <c r="G178" s="72"/>
      <c r="X178" s="73"/>
    </row>
    <row r="179" ht="14.25" customHeight="1">
      <c r="A179" s="71"/>
      <c r="B179" s="71"/>
      <c r="G179" s="72"/>
      <c r="X179" s="73"/>
    </row>
    <row r="180" ht="14.25" customHeight="1">
      <c r="A180" s="71"/>
      <c r="B180" s="71"/>
      <c r="G180" s="72"/>
      <c r="X180" s="73"/>
    </row>
    <row r="181" ht="14.25" customHeight="1">
      <c r="A181" s="71"/>
      <c r="B181" s="71"/>
      <c r="G181" s="72"/>
      <c r="X181" s="73"/>
    </row>
    <row r="182" ht="14.25" customHeight="1">
      <c r="A182" s="71"/>
      <c r="B182" s="71"/>
      <c r="G182" s="72"/>
      <c r="X182" s="73"/>
    </row>
    <row r="183" ht="14.25" customHeight="1">
      <c r="A183" s="71"/>
      <c r="B183" s="71"/>
      <c r="G183" s="72"/>
      <c r="X183" s="73"/>
    </row>
    <row r="184" ht="14.25" customHeight="1">
      <c r="A184" s="71"/>
      <c r="B184" s="71"/>
      <c r="G184" s="72"/>
      <c r="X184" s="73"/>
    </row>
    <row r="185" ht="14.25" customHeight="1">
      <c r="A185" s="71"/>
      <c r="B185" s="71"/>
      <c r="G185" s="72"/>
      <c r="X185" s="73"/>
    </row>
    <row r="186" ht="14.25" customHeight="1">
      <c r="A186" s="71"/>
      <c r="B186" s="71"/>
      <c r="G186" s="72"/>
      <c r="X186" s="73"/>
    </row>
    <row r="187" ht="14.25" customHeight="1">
      <c r="A187" s="71"/>
      <c r="B187" s="71"/>
      <c r="G187" s="72"/>
      <c r="X187" s="73"/>
    </row>
    <row r="188" ht="14.25" customHeight="1">
      <c r="A188" s="71"/>
      <c r="B188" s="71"/>
      <c r="G188" s="72"/>
      <c r="X188" s="73"/>
    </row>
    <row r="189" ht="14.25" customHeight="1">
      <c r="A189" s="71"/>
      <c r="B189" s="71"/>
      <c r="G189" s="72"/>
      <c r="X189" s="73"/>
    </row>
    <row r="190" ht="14.25" customHeight="1">
      <c r="A190" s="71"/>
      <c r="B190" s="71"/>
      <c r="G190" s="72"/>
      <c r="X190" s="73"/>
    </row>
    <row r="191" ht="14.25" customHeight="1">
      <c r="A191" s="71"/>
      <c r="B191" s="71"/>
      <c r="G191" s="72"/>
      <c r="X191" s="73"/>
    </row>
    <row r="192" ht="14.25" customHeight="1">
      <c r="A192" s="71"/>
      <c r="B192" s="71"/>
      <c r="G192" s="72"/>
      <c r="X192" s="73"/>
    </row>
    <row r="193" ht="14.25" customHeight="1">
      <c r="A193" s="71"/>
      <c r="B193" s="71"/>
      <c r="G193" s="72"/>
      <c r="X193" s="73"/>
    </row>
    <row r="194" ht="14.25" customHeight="1">
      <c r="A194" s="71"/>
      <c r="B194" s="71"/>
      <c r="G194" s="72"/>
      <c r="X194" s="73"/>
    </row>
    <row r="195" ht="14.25" customHeight="1">
      <c r="A195" s="71"/>
      <c r="B195" s="71"/>
      <c r="G195" s="72"/>
      <c r="X195" s="73"/>
    </row>
    <row r="196" ht="14.25" customHeight="1">
      <c r="A196" s="71"/>
      <c r="B196" s="71"/>
      <c r="G196" s="72"/>
      <c r="X196" s="73"/>
    </row>
    <row r="197" ht="14.25" customHeight="1">
      <c r="A197" s="71"/>
      <c r="B197" s="71"/>
      <c r="G197" s="72"/>
      <c r="X197" s="73"/>
    </row>
    <row r="198" ht="14.25" customHeight="1">
      <c r="A198" s="71"/>
      <c r="B198" s="71"/>
      <c r="G198" s="72"/>
      <c r="X198" s="73"/>
    </row>
    <row r="199" ht="14.25" customHeight="1">
      <c r="A199" s="71"/>
      <c r="B199" s="71"/>
      <c r="G199" s="72"/>
      <c r="X199" s="73"/>
    </row>
    <row r="200" ht="14.25" customHeight="1">
      <c r="A200" s="71"/>
      <c r="B200" s="71"/>
      <c r="G200" s="72"/>
      <c r="X200" s="73"/>
    </row>
    <row r="201" ht="14.25" customHeight="1">
      <c r="A201" s="71"/>
      <c r="B201" s="71"/>
      <c r="G201" s="72"/>
      <c r="X201" s="73"/>
    </row>
    <row r="202" ht="14.25" customHeight="1">
      <c r="A202" s="71"/>
      <c r="B202" s="71"/>
      <c r="G202" s="72"/>
      <c r="X202" s="73"/>
    </row>
    <row r="203" ht="14.25" customHeight="1">
      <c r="A203" s="71"/>
      <c r="B203" s="71"/>
      <c r="G203" s="72"/>
      <c r="X203" s="73"/>
    </row>
    <row r="204" ht="14.25" customHeight="1">
      <c r="A204" s="71"/>
      <c r="B204" s="71"/>
      <c r="G204" s="72"/>
      <c r="X204" s="73"/>
    </row>
    <row r="205" ht="14.25" customHeight="1">
      <c r="A205" s="71"/>
      <c r="B205" s="71"/>
      <c r="G205" s="72"/>
      <c r="X205" s="73"/>
    </row>
    <row r="206" ht="14.25" customHeight="1">
      <c r="A206" s="71"/>
      <c r="B206" s="71"/>
      <c r="G206" s="72"/>
      <c r="X206" s="73"/>
    </row>
    <row r="207" ht="14.25" customHeight="1">
      <c r="A207" s="71"/>
      <c r="B207" s="71"/>
      <c r="G207" s="72"/>
      <c r="X207" s="73"/>
    </row>
    <row r="208" ht="14.25" customHeight="1">
      <c r="A208" s="71"/>
      <c r="B208" s="71"/>
      <c r="G208" s="72"/>
      <c r="X208" s="73"/>
    </row>
    <row r="209" ht="14.25" customHeight="1">
      <c r="A209" s="71"/>
      <c r="B209" s="71"/>
      <c r="G209" s="72"/>
      <c r="X209" s="73"/>
    </row>
    <row r="210" ht="14.25" customHeight="1">
      <c r="A210" s="71"/>
      <c r="B210" s="71"/>
      <c r="G210" s="72"/>
      <c r="X210" s="73"/>
    </row>
    <row r="211" ht="14.25" customHeight="1">
      <c r="A211" s="71"/>
      <c r="B211" s="71"/>
      <c r="G211" s="72"/>
      <c r="X211" s="73"/>
    </row>
    <row r="212" ht="14.25" customHeight="1">
      <c r="A212" s="71"/>
      <c r="B212" s="71"/>
      <c r="G212" s="72"/>
      <c r="X212" s="73"/>
    </row>
    <row r="213" ht="14.25" customHeight="1">
      <c r="A213" s="71"/>
      <c r="B213" s="71"/>
      <c r="G213" s="72"/>
      <c r="X213" s="73"/>
    </row>
    <row r="214" ht="14.25" customHeight="1">
      <c r="A214" s="71"/>
      <c r="B214" s="71"/>
      <c r="G214" s="72"/>
      <c r="X214" s="73"/>
    </row>
    <row r="215" ht="14.25" customHeight="1">
      <c r="A215" s="71"/>
      <c r="B215" s="71"/>
      <c r="G215" s="72"/>
      <c r="X215" s="73"/>
    </row>
    <row r="216" ht="14.25" customHeight="1">
      <c r="A216" s="71"/>
      <c r="B216" s="71"/>
      <c r="G216" s="72"/>
      <c r="X216" s="73"/>
    </row>
    <row r="217" ht="14.25" customHeight="1">
      <c r="A217" s="71"/>
      <c r="B217" s="71"/>
      <c r="G217" s="72"/>
      <c r="X217" s="73"/>
    </row>
    <row r="218" ht="14.25" customHeight="1">
      <c r="A218" s="71"/>
      <c r="B218" s="71"/>
      <c r="G218" s="72"/>
      <c r="X218" s="73"/>
    </row>
    <row r="219" ht="14.25" customHeight="1">
      <c r="A219" s="71"/>
      <c r="B219" s="71"/>
      <c r="G219" s="72"/>
      <c r="X219" s="73"/>
    </row>
    <row r="220" ht="14.25" customHeight="1">
      <c r="A220" s="71"/>
      <c r="B220" s="71"/>
      <c r="G220" s="72"/>
      <c r="X220" s="73"/>
    </row>
    <row r="221" ht="14.25" customHeight="1">
      <c r="A221" s="71"/>
      <c r="B221" s="71"/>
      <c r="G221" s="72"/>
      <c r="X221" s="73"/>
    </row>
    <row r="222" ht="14.25" customHeight="1">
      <c r="A222" s="71"/>
      <c r="B222" s="71"/>
      <c r="G222" s="72"/>
      <c r="X222" s="73"/>
    </row>
    <row r="223" ht="14.25" customHeight="1">
      <c r="A223" s="71"/>
      <c r="B223" s="71"/>
      <c r="G223" s="72"/>
      <c r="X223" s="73"/>
    </row>
    <row r="224" ht="14.25" customHeight="1">
      <c r="A224" s="71"/>
      <c r="B224" s="71"/>
      <c r="G224" s="72"/>
      <c r="X224" s="73"/>
    </row>
    <row r="225" ht="14.25" customHeight="1">
      <c r="A225" s="71"/>
      <c r="B225" s="71"/>
      <c r="G225" s="72"/>
      <c r="X225" s="73"/>
    </row>
    <row r="226" ht="14.25" customHeight="1">
      <c r="A226" s="71"/>
      <c r="B226" s="71"/>
      <c r="G226" s="72"/>
      <c r="X226" s="73"/>
    </row>
    <row r="227" ht="14.25" customHeight="1">
      <c r="A227" s="71"/>
      <c r="B227" s="71"/>
      <c r="G227" s="72"/>
      <c r="X227" s="73"/>
    </row>
    <row r="228" ht="14.25" customHeight="1">
      <c r="A228" s="71"/>
      <c r="B228" s="71"/>
      <c r="G228" s="72"/>
      <c r="X228" s="73"/>
    </row>
    <row r="229" ht="14.25" customHeight="1">
      <c r="A229" s="71"/>
      <c r="B229" s="71"/>
      <c r="G229" s="72"/>
      <c r="X229" s="73"/>
    </row>
    <row r="230" ht="14.25" customHeight="1">
      <c r="A230" s="71"/>
      <c r="B230" s="71"/>
      <c r="G230" s="72"/>
      <c r="X230" s="73"/>
    </row>
    <row r="231" ht="14.25" customHeight="1">
      <c r="A231" s="71"/>
      <c r="B231" s="71"/>
      <c r="G231" s="72"/>
      <c r="X231" s="73"/>
    </row>
    <row r="232" ht="14.25" customHeight="1">
      <c r="A232" s="71"/>
      <c r="B232" s="71"/>
      <c r="G232" s="72"/>
      <c r="X232" s="73"/>
    </row>
    <row r="233" ht="14.25" customHeight="1">
      <c r="A233" s="71"/>
      <c r="B233" s="71"/>
      <c r="G233" s="72"/>
      <c r="X233" s="73"/>
    </row>
    <row r="234" ht="14.25" customHeight="1">
      <c r="A234" s="71"/>
      <c r="B234" s="71"/>
      <c r="G234" s="72"/>
      <c r="X234" s="73"/>
    </row>
    <row r="235" ht="14.25" customHeight="1">
      <c r="A235" s="71"/>
      <c r="B235" s="71"/>
      <c r="G235" s="72"/>
      <c r="X235" s="73"/>
    </row>
    <row r="236" ht="14.25" customHeight="1">
      <c r="A236" s="71"/>
      <c r="B236" s="71"/>
      <c r="G236" s="72"/>
      <c r="X236" s="73"/>
    </row>
    <row r="237" ht="14.25" customHeight="1">
      <c r="A237" s="71"/>
      <c r="B237" s="71"/>
      <c r="G237" s="72"/>
      <c r="X237" s="73"/>
    </row>
    <row r="238" ht="14.25" customHeight="1">
      <c r="A238" s="71"/>
      <c r="B238" s="71"/>
      <c r="G238" s="72"/>
      <c r="X238" s="73"/>
    </row>
    <row r="239" ht="14.25" customHeight="1">
      <c r="A239" s="71"/>
      <c r="B239" s="71"/>
      <c r="G239" s="72"/>
      <c r="X239" s="73"/>
    </row>
    <row r="240" ht="14.25" customHeight="1">
      <c r="A240" s="71"/>
      <c r="B240" s="71"/>
      <c r="G240" s="72"/>
      <c r="X240" s="73"/>
    </row>
    <row r="241" ht="14.25" customHeight="1">
      <c r="A241" s="71"/>
      <c r="B241" s="71"/>
      <c r="G241" s="72"/>
      <c r="X241" s="73"/>
    </row>
    <row r="242" ht="14.25" customHeight="1">
      <c r="A242" s="71"/>
      <c r="B242" s="71"/>
      <c r="G242" s="72"/>
      <c r="X242" s="73"/>
    </row>
    <row r="243" ht="14.25" customHeight="1">
      <c r="A243" s="71"/>
      <c r="B243" s="71"/>
      <c r="G243" s="72"/>
      <c r="X243" s="73"/>
    </row>
    <row r="244" ht="14.25" customHeight="1">
      <c r="A244" s="71"/>
      <c r="B244" s="71"/>
      <c r="G244" s="72"/>
      <c r="X244" s="73"/>
    </row>
    <row r="245" ht="14.25" customHeight="1">
      <c r="A245" s="71"/>
      <c r="B245" s="71"/>
      <c r="G245" s="72"/>
      <c r="X245" s="73"/>
    </row>
    <row r="246" ht="14.25" customHeight="1">
      <c r="A246" s="71"/>
      <c r="B246" s="71"/>
      <c r="G246" s="72"/>
      <c r="X246" s="73"/>
    </row>
    <row r="247" ht="14.25" customHeight="1">
      <c r="A247" s="71"/>
      <c r="B247" s="71"/>
      <c r="G247" s="72"/>
      <c r="X247" s="73"/>
    </row>
    <row r="248" ht="14.25" customHeight="1">
      <c r="A248" s="71"/>
      <c r="B248" s="71"/>
      <c r="G248" s="72"/>
      <c r="X248" s="73"/>
    </row>
    <row r="249" ht="14.25" customHeight="1">
      <c r="A249" s="71"/>
      <c r="B249" s="71"/>
      <c r="G249" s="72"/>
      <c r="X249" s="73"/>
    </row>
    <row r="250" ht="14.25" customHeight="1">
      <c r="A250" s="71"/>
      <c r="B250" s="71"/>
      <c r="G250" s="72"/>
      <c r="X250" s="73"/>
    </row>
    <row r="251" ht="14.25" customHeight="1">
      <c r="A251" s="71"/>
      <c r="B251" s="71"/>
      <c r="G251" s="72"/>
      <c r="X251" s="73"/>
    </row>
    <row r="252" ht="14.25" customHeight="1">
      <c r="A252" s="71"/>
      <c r="B252" s="71"/>
      <c r="G252" s="72"/>
      <c r="X252" s="73"/>
    </row>
    <row r="253" ht="14.25" customHeight="1">
      <c r="A253" s="71"/>
      <c r="B253" s="71"/>
      <c r="G253" s="72"/>
      <c r="X253" s="73"/>
    </row>
    <row r="254" ht="14.25" customHeight="1">
      <c r="A254" s="71"/>
      <c r="B254" s="71"/>
      <c r="G254" s="72"/>
      <c r="X254" s="73"/>
    </row>
    <row r="255" ht="14.25" customHeight="1">
      <c r="A255" s="71"/>
      <c r="B255" s="71"/>
      <c r="G255" s="72"/>
      <c r="X255" s="73"/>
    </row>
    <row r="256" ht="14.25" customHeight="1">
      <c r="A256" s="71"/>
      <c r="B256" s="71"/>
      <c r="G256" s="72"/>
      <c r="X256" s="73"/>
    </row>
    <row r="257" ht="14.25" customHeight="1">
      <c r="A257" s="71"/>
      <c r="B257" s="71"/>
      <c r="G257" s="72"/>
      <c r="X257" s="73"/>
    </row>
    <row r="258" ht="14.25" customHeight="1">
      <c r="A258" s="71"/>
      <c r="B258" s="71"/>
      <c r="G258" s="72"/>
      <c r="X258" s="73"/>
    </row>
    <row r="259" ht="14.25" customHeight="1">
      <c r="A259" s="71"/>
      <c r="B259" s="71"/>
      <c r="G259" s="72"/>
      <c r="X259" s="73"/>
    </row>
    <row r="260" ht="14.25" customHeight="1">
      <c r="A260" s="71"/>
      <c r="B260" s="71"/>
      <c r="G260" s="72"/>
      <c r="X260" s="73"/>
    </row>
    <row r="261" ht="14.25" customHeight="1">
      <c r="A261" s="71"/>
      <c r="B261" s="71"/>
      <c r="G261" s="72"/>
      <c r="X261" s="73"/>
    </row>
    <row r="262" ht="14.25" customHeight="1">
      <c r="A262" s="71"/>
      <c r="B262" s="71"/>
      <c r="G262" s="72"/>
      <c r="X262" s="73"/>
    </row>
    <row r="263" ht="14.25" customHeight="1">
      <c r="A263" s="71"/>
      <c r="B263" s="71"/>
      <c r="G263" s="72"/>
      <c r="X263" s="73"/>
    </row>
    <row r="264" ht="14.25" customHeight="1">
      <c r="A264" s="71"/>
      <c r="B264" s="71"/>
      <c r="G264" s="72"/>
      <c r="X264" s="73"/>
    </row>
    <row r="265" ht="14.25" customHeight="1">
      <c r="A265" s="71"/>
      <c r="B265" s="71"/>
      <c r="G265" s="72"/>
      <c r="X265" s="73"/>
    </row>
    <row r="266" ht="14.25" customHeight="1">
      <c r="A266" s="71"/>
      <c r="B266" s="71"/>
      <c r="G266" s="72"/>
      <c r="X266" s="73"/>
    </row>
    <row r="267" ht="14.25" customHeight="1">
      <c r="A267" s="71"/>
      <c r="B267" s="71"/>
      <c r="G267" s="72"/>
      <c r="X267" s="73"/>
    </row>
    <row r="268" ht="14.25" customHeight="1">
      <c r="A268" s="71"/>
      <c r="B268" s="71"/>
      <c r="G268" s="72"/>
      <c r="X268" s="73"/>
    </row>
    <row r="269" ht="14.25" customHeight="1">
      <c r="A269" s="71"/>
      <c r="B269" s="71"/>
      <c r="G269" s="72"/>
      <c r="X269" s="73"/>
    </row>
    <row r="270" ht="14.25" customHeight="1">
      <c r="A270" s="71"/>
      <c r="B270" s="71"/>
      <c r="G270" s="72"/>
      <c r="X270" s="73"/>
    </row>
    <row r="271" ht="14.25" customHeight="1">
      <c r="A271" s="71"/>
      <c r="B271" s="71"/>
      <c r="G271" s="72"/>
      <c r="X271" s="73"/>
    </row>
    <row r="272" ht="14.25" customHeight="1">
      <c r="A272" s="71"/>
      <c r="B272" s="71"/>
      <c r="G272" s="72"/>
      <c r="X272" s="73"/>
    </row>
    <row r="273" ht="14.25" customHeight="1">
      <c r="A273" s="71"/>
      <c r="B273" s="71"/>
      <c r="G273" s="72"/>
      <c r="X273" s="73"/>
    </row>
    <row r="274" ht="14.25" customHeight="1">
      <c r="A274" s="71"/>
      <c r="B274" s="71"/>
      <c r="G274" s="72"/>
      <c r="X274" s="73"/>
    </row>
    <row r="275" ht="14.25" customHeight="1">
      <c r="A275" s="71"/>
      <c r="B275" s="71"/>
      <c r="G275" s="72"/>
      <c r="X275" s="73"/>
    </row>
    <row r="276" ht="14.25" customHeight="1">
      <c r="A276" s="71"/>
      <c r="B276" s="71"/>
      <c r="G276" s="72"/>
      <c r="X276" s="73"/>
    </row>
    <row r="277" ht="14.25" customHeight="1">
      <c r="A277" s="71"/>
      <c r="B277" s="71"/>
      <c r="G277" s="72"/>
      <c r="X277" s="73"/>
    </row>
    <row r="278" ht="14.25" customHeight="1">
      <c r="A278" s="71"/>
      <c r="B278" s="71"/>
      <c r="G278" s="72"/>
      <c r="X278" s="73"/>
    </row>
    <row r="279" ht="14.25" customHeight="1">
      <c r="A279" s="71"/>
      <c r="B279" s="71"/>
      <c r="G279" s="72"/>
      <c r="X279" s="73"/>
    </row>
    <row r="280" ht="14.25" customHeight="1">
      <c r="A280" s="71"/>
      <c r="B280" s="71"/>
      <c r="G280" s="72"/>
      <c r="X280" s="73"/>
    </row>
    <row r="281" ht="14.25" customHeight="1">
      <c r="A281" s="71"/>
      <c r="B281" s="71"/>
      <c r="G281" s="72"/>
      <c r="X281" s="73"/>
    </row>
    <row r="282" ht="14.25" customHeight="1">
      <c r="A282" s="71"/>
      <c r="B282" s="71"/>
      <c r="G282" s="72"/>
      <c r="X282" s="73"/>
    </row>
    <row r="283" ht="14.25" customHeight="1">
      <c r="A283" s="71"/>
      <c r="B283" s="71"/>
      <c r="G283" s="72"/>
      <c r="X283" s="73"/>
    </row>
    <row r="284" ht="14.25" customHeight="1">
      <c r="A284" s="71"/>
      <c r="B284" s="71"/>
      <c r="G284" s="72"/>
      <c r="X284" s="73"/>
    </row>
    <row r="285" ht="14.25" customHeight="1">
      <c r="A285" s="71"/>
      <c r="B285" s="71"/>
      <c r="G285" s="72"/>
      <c r="X285" s="73"/>
    </row>
    <row r="286" ht="14.25" customHeight="1">
      <c r="A286" s="71"/>
      <c r="B286" s="71"/>
      <c r="G286" s="72"/>
      <c r="X286" s="73"/>
    </row>
    <row r="287" ht="14.25" customHeight="1">
      <c r="A287" s="71"/>
      <c r="B287" s="71"/>
      <c r="G287" s="72"/>
      <c r="X287" s="73"/>
    </row>
    <row r="288" ht="14.25" customHeight="1">
      <c r="A288" s="71"/>
      <c r="B288" s="71"/>
      <c r="G288" s="72"/>
      <c r="X288" s="73"/>
    </row>
    <row r="289" ht="14.25" customHeight="1">
      <c r="A289" s="71"/>
      <c r="B289" s="71"/>
      <c r="G289" s="72"/>
      <c r="X289" s="73"/>
    </row>
    <row r="290" ht="14.25" customHeight="1">
      <c r="A290" s="71"/>
      <c r="B290" s="71"/>
      <c r="G290" s="72"/>
      <c r="X290" s="73"/>
    </row>
    <row r="291" ht="14.25" customHeight="1">
      <c r="A291" s="71"/>
      <c r="B291" s="71"/>
      <c r="G291" s="72"/>
      <c r="X291" s="73"/>
    </row>
    <row r="292" ht="14.25" customHeight="1">
      <c r="A292" s="71"/>
      <c r="B292" s="71"/>
      <c r="G292" s="72"/>
      <c r="X292" s="73"/>
    </row>
    <row r="293" ht="14.25" customHeight="1">
      <c r="A293" s="71"/>
      <c r="B293" s="71"/>
      <c r="G293" s="72"/>
      <c r="X293" s="73"/>
    </row>
    <row r="294" ht="14.25" customHeight="1">
      <c r="A294" s="71"/>
      <c r="B294" s="71"/>
      <c r="G294" s="72"/>
      <c r="X294" s="73"/>
    </row>
    <row r="295" ht="14.25" customHeight="1">
      <c r="A295" s="71"/>
      <c r="B295" s="71"/>
      <c r="G295" s="72"/>
      <c r="X295" s="73"/>
    </row>
    <row r="296" ht="14.25" customHeight="1">
      <c r="A296" s="71"/>
      <c r="B296" s="71"/>
      <c r="G296" s="72"/>
      <c r="X296" s="73"/>
    </row>
    <row r="297" ht="14.25" customHeight="1">
      <c r="A297" s="71"/>
      <c r="B297" s="71"/>
      <c r="G297" s="72"/>
      <c r="X297" s="73"/>
    </row>
    <row r="298" ht="14.25" customHeight="1">
      <c r="A298" s="71"/>
      <c r="B298" s="71"/>
      <c r="G298" s="72"/>
      <c r="X298" s="73"/>
    </row>
    <row r="299" ht="14.25" customHeight="1">
      <c r="A299" s="71"/>
      <c r="B299" s="71"/>
      <c r="G299" s="72"/>
      <c r="X299" s="73"/>
    </row>
    <row r="300" ht="14.25" customHeight="1">
      <c r="A300" s="71"/>
      <c r="B300" s="71"/>
      <c r="G300" s="72"/>
      <c r="X300" s="73"/>
    </row>
    <row r="301" ht="14.25" customHeight="1">
      <c r="A301" s="71"/>
      <c r="B301" s="71"/>
      <c r="G301" s="72"/>
      <c r="X301" s="73"/>
    </row>
    <row r="302" ht="14.25" customHeight="1">
      <c r="A302" s="71"/>
      <c r="B302" s="71"/>
      <c r="G302" s="72"/>
      <c r="X302" s="73"/>
    </row>
    <row r="303" ht="14.25" customHeight="1">
      <c r="A303" s="71"/>
      <c r="B303" s="71"/>
      <c r="G303" s="72"/>
      <c r="X303" s="73"/>
    </row>
    <row r="304" ht="14.25" customHeight="1">
      <c r="A304" s="71"/>
      <c r="B304" s="71"/>
      <c r="G304" s="72"/>
      <c r="X304" s="73"/>
    </row>
    <row r="305" ht="14.25" customHeight="1">
      <c r="A305" s="71"/>
      <c r="B305" s="71"/>
      <c r="G305" s="72"/>
      <c r="X305" s="73"/>
    </row>
    <row r="306" ht="14.25" customHeight="1">
      <c r="A306" s="71"/>
      <c r="B306" s="71"/>
      <c r="G306" s="72"/>
      <c r="X306" s="73"/>
    </row>
    <row r="307" ht="14.25" customHeight="1">
      <c r="A307" s="71"/>
      <c r="B307" s="71"/>
      <c r="G307" s="72"/>
      <c r="X307" s="73"/>
    </row>
    <row r="308" ht="14.25" customHeight="1">
      <c r="A308" s="71"/>
      <c r="B308" s="71"/>
      <c r="G308" s="72"/>
      <c r="X308" s="73"/>
    </row>
    <row r="309" ht="14.25" customHeight="1">
      <c r="A309" s="71"/>
      <c r="B309" s="71"/>
      <c r="G309" s="72"/>
      <c r="X309" s="73"/>
    </row>
    <row r="310" ht="14.25" customHeight="1">
      <c r="A310" s="71"/>
      <c r="B310" s="71"/>
      <c r="G310" s="72"/>
      <c r="X310" s="73"/>
    </row>
    <row r="311" ht="14.25" customHeight="1">
      <c r="A311" s="71"/>
      <c r="B311" s="71"/>
      <c r="G311" s="72"/>
      <c r="X311" s="73"/>
    </row>
    <row r="312" ht="14.25" customHeight="1">
      <c r="A312" s="71"/>
      <c r="B312" s="71"/>
      <c r="G312" s="72"/>
      <c r="X312" s="73"/>
    </row>
    <row r="313" ht="14.25" customHeight="1">
      <c r="A313" s="71"/>
      <c r="B313" s="71"/>
      <c r="G313" s="72"/>
      <c r="X313" s="73"/>
    </row>
    <row r="314" ht="14.25" customHeight="1">
      <c r="A314" s="71"/>
      <c r="B314" s="71"/>
      <c r="G314" s="72"/>
      <c r="X314" s="73"/>
    </row>
    <row r="315" ht="14.25" customHeight="1">
      <c r="A315" s="71"/>
      <c r="B315" s="71"/>
      <c r="G315" s="72"/>
      <c r="X315" s="73"/>
    </row>
    <row r="316" ht="14.25" customHeight="1">
      <c r="A316" s="71"/>
      <c r="B316" s="71"/>
      <c r="G316" s="72"/>
      <c r="X316" s="73"/>
    </row>
    <row r="317" ht="14.25" customHeight="1">
      <c r="A317" s="71"/>
      <c r="B317" s="71"/>
      <c r="G317" s="72"/>
      <c r="X317" s="73"/>
    </row>
    <row r="318" ht="14.25" customHeight="1">
      <c r="A318" s="71"/>
      <c r="B318" s="71"/>
      <c r="G318" s="72"/>
      <c r="X318" s="73"/>
    </row>
    <row r="319" ht="14.25" customHeight="1">
      <c r="A319" s="71"/>
      <c r="B319" s="71"/>
      <c r="G319" s="72"/>
      <c r="X319" s="73"/>
    </row>
    <row r="320" ht="14.25" customHeight="1">
      <c r="A320" s="71"/>
      <c r="B320" s="71"/>
      <c r="G320" s="72"/>
      <c r="X320" s="73"/>
    </row>
    <row r="321" ht="14.25" customHeight="1">
      <c r="A321" s="71"/>
      <c r="B321" s="71"/>
      <c r="G321" s="72"/>
      <c r="X321" s="73"/>
    </row>
    <row r="322" ht="14.25" customHeight="1">
      <c r="A322" s="71"/>
      <c r="B322" s="71"/>
      <c r="G322" s="72"/>
      <c r="X322" s="73"/>
    </row>
    <row r="323" ht="14.25" customHeight="1">
      <c r="A323" s="71"/>
      <c r="B323" s="71"/>
      <c r="G323" s="72"/>
      <c r="X323" s="73"/>
    </row>
    <row r="324" ht="14.25" customHeight="1">
      <c r="A324" s="71"/>
      <c r="B324" s="71"/>
      <c r="G324" s="72"/>
      <c r="X324" s="73"/>
    </row>
    <row r="325" ht="14.25" customHeight="1">
      <c r="A325" s="71"/>
      <c r="B325" s="71"/>
      <c r="G325" s="72"/>
      <c r="X325" s="73"/>
    </row>
    <row r="326" ht="14.25" customHeight="1">
      <c r="A326" s="71"/>
      <c r="B326" s="71"/>
      <c r="G326" s="72"/>
      <c r="X326" s="73"/>
    </row>
    <row r="327" ht="14.25" customHeight="1">
      <c r="A327" s="71"/>
      <c r="B327" s="71"/>
      <c r="G327" s="72"/>
      <c r="X327" s="73"/>
    </row>
    <row r="328" ht="14.25" customHeight="1">
      <c r="A328" s="71"/>
      <c r="B328" s="71"/>
      <c r="G328" s="72"/>
      <c r="X328" s="73"/>
    </row>
    <row r="329" ht="14.25" customHeight="1">
      <c r="A329" s="71"/>
      <c r="B329" s="71"/>
      <c r="G329" s="72"/>
      <c r="X329" s="73"/>
    </row>
    <row r="330" ht="14.25" customHeight="1">
      <c r="A330" s="71"/>
      <c r="B330" s="71"/>
      <c r="G330" s="72"/>
      <c r="X330" s="73"/>
    </row>
    <row r="331" ht="14.25" customHeight="1">
      <c r="A331" s="71"/>
      <c r="B331" s="71"/>
      <c r="G331" s="72"/>
      <c r="X331" s="73"/>
    </row>
    <row r="332" ht="14.25" customHeight="1">
      <c r="A332" s="71"/>
      <c r="B332" s="71"/>
      <c r="G332" s="72"/>
      <c r="X332" s="73"/>
    </row>
    <row r="333" ht="14.25" customHeight="1">
      <c r="A333" s="71"/>
      <c r="B333" s="71"/>
      <c r="G333" s="72"/>
      <c r="X333" s="73"/>
    </row>
    <row r="334" ht="14.25" customHeight="1">
      <c r="A334" s="71"/>
      <c r="B334" s="71"/>
      <c r="G334" s="72"/>
      <c r="X334" s="73"/>
    </row>
    <row r="335" ht="14.25" customHeight="1">
      <c r="A335" s="71"/>
      <c r="B335" s="71"/>
      <c r="G335" s="72"/>
      <c r="X335" s="73"/>
    </row>
    <row r="336" ht="14.25" customHeight="1">
      <c r="A336" s="71"/>
      <c r="B336" s="71"/>
      <c r="G336" s="72"/>
      <c r="X336" s="73"/>
    </row>
    <row r="337" ht="14.25" customHeight="1">
      <c r="A337" s="71"/>
      <c r="B337" s="71"/>
      <c r="G337" s="72"/>
      <c r="X337" s="73"/>
    </row>
    <row r="338" ht="14.25" customHeight="1">
      <c r="A338" s="71"/>
      <c r="B338" s="71"/>
      <c r="G338" s="72"/>
      <c r="X338" s="73"/>
    </row>
    <row r="339" ht="14.25" customHeight="1">
      <c r="A339" s="71"/>
      <c r="B339" s="71"/>
      <c r="G339" s="72"/>
      <c r="X339" s="73"/>
    </row>
    <row r="340" ht="14.25" customHeight="1">
      <c r="A340" s="71"/>
      <c r="B340" s="71"/>
      <c r="G340" s="72"/>
      <c r="X340" s="73"/>
    </row>
    <row r="341" ht="14.25" customHeight="1">
      <c r="A341" s="71"/>
      <c r="B341" s="71"/>
      <c r="G341" s="72"/>
      <c r="X341" s="73"/>
    </row>
    <row r="342" ht="14.25" customHeight="1">
      <c r="A342" s="71"/>
      <c r="B342" s="71"/>
      <c r="G342" s="72"/>
      <c r="X342" s="73"/>
    </row>
    <row r="343" ht="14.25" customHeight="1">
      <c r="A343" s="71"/>
      <c r="B343" s="71"/>
      <c r="G343" s="72"/>
      <c r="X343" s="73"/>
    </row>
    <row r="344" ht="14.25" customHeight="1">
      <c r="A344" s="71"/>
      <c r="B344" s="71"/>
      <c r="G344" s="72"/>
      <c r="X344" s="73"/>
    </row>
    <row r="345" ht="14.25" customHeight="1">
      <c r="A345" s="71"/>
      <c r="B345" s="71"/>
      <c r="G345" s="72"/>
      <c r="X345" s="73"/>
    </row>
    <row r="346" ht="14.25" customHeight="1">
      <c r="A346" s="71"/>
      <c r="B346" s="71"/>
      <c r="G346" s="72"/>
      <c r="X346" s="73"/>
    </row>
    <row r="347" ht="14.25" customHeight="1">
      <c r="A347" s="71"/>
      <c r="B347" s="71"/>
      <c r="G347" s="72"/>
      <c r="X347" s="73"/>
    </row>
    <row r="348" ht="14.25" customHeight="1">
      <c r="A348" s="71"/>
      <c r="B348" s="71"/>
      <c r="G348" s="72"/>
      <c r="X348" s="73"/>
    </row>
    <row r="349" ht="14.25" customHeight="1">
      <c r="A349" s="71"/>
      <c r="B349" s="71"/>
      <c r="G349" s="72"/>
      <c r="X349" s="73"/>
    </row>
    <row r="350" ht="14.25" customHeight="1">
      <c r="A350" s="71"/>
      <c r="B350" s="71"/>
      <c r="G350" s="72"/>
      <c r="X350" s="73"/>
    </row>
    <row r="351" ht="14.25" customHeight="1">
      <c r="A351" s="71"/>
      <c r="B351" s="71"/>
      <c r="G351" s="72"/>
      <c r="X351" s="73"/>
    </row>
    <row r="352" ht="14.25" customHeight="1">
      <c r="A352" s="71"/>
      <c r="B352" s="71"/>
      <c r="G352" s="72"/>
      <c r="X352" s="73"/>
    </row>
    <row r="353" ht="14.25" customHeight="1">
      <c r="A353" s="71"/>
      <c r="B353" s="71"/>
      <c r="G353" s="72"/>
      <c r="X353" s="73"/>
    </row>
    <row r="354" ht="14.25" customHeight="1">
      <c r="A354" s="71"/>
      <c r="B354" s="71"/>
      <c r="G354" s="72"/>
      <c r="X354" s="73"/>
    </row>
    <row r="355" ht="14.25" customHeight="1">
      <c r="A355" s="71"/>
      <c r="B355" s="71"/>
      <c r="G355" s="72"/>
      <c r="X355" s="73"/>
    </row>
    <row r="356" ht="14.25" customHeight="1">
      <c r="A356" s="71"/>
      <c r="B356" s="71"/>
      <c r="G356" s="72"/>
      <c r="X356" s="73"/>
    </row>
    <row r="357" ht="14.25" customHeight="1">
      <c r="A357" s="71"/>
      <c r="B357" s="71"/>
      <c r="G357" s="72"/>
      <c r="X357" s="73"/>
    </row>
    <row r="358" ht="14.25" customHeight="1">
      <c r="A358" s="71"/>
      <c r="B358" s="71"/>
      <c r="G358" s="72"/>
      <c r="X358" s="73"/>
    </row>
    <row r="359" ht="14.25" customHeight="1">
      <c r="A359" s="71"/>
      <c r="B359" s="71"/>
      <c r="G359" s="72"/>
      <c r="X359" s="73"/>
    </row>
    <row r="360" ht="14.25" customHeight="1">
      <c r="A360" s="71"/>
      <c r="B360" s="71"/>
      <c r="G360" s="72"/>
      <c r="X360" s="73"/>
    </row>
    <row r="361" ht="14.25" customHeight="1">
      <c r="A361" s="71"/>
      <c r="B361" s="71"/>
      <c r="G361" s="72"/>
      <c r="X361" s="73"/>
    </row>
    <row r="362" ht="14.25" customHeight="1">
      <c r="A362" s="71"/>
      <c r="B362" s="71"/>
      <c r="G362" s="72"/>
      <c r="X362" s="73"/>
    </row>
    <row r="363" ht="14.25" customHeight="1">
      <c r="A363" s="71"/>
      <c r="B363" s="71"/>
      <c r="G363" s="72"/>
      <c r="X363" s="73"/>
    </row>
    <row r="364" ht="14.25" customHeight="1">
      <c r="A364" s="71"/>
      <c r="B364" s="71"/>
      <c r="G364" s="72"/>
      <c r="X364" s="73"/>
    </row>
    <row r="365" ht="14.25" customHeight="1">
      <c r="A365" s="71"/>
      <c r="B365" s="71"/>
      <c r="G365" s="72"/>
      <c r="X365" s="73"/>
    </row>
    <row r="366" ht="14.25" customHeight="1">
      <c r="A366" s="71"/>
      <c r="B366" s="71"/>
      <c r="G366" s="72"/>
      <c r="X366" s="73"/>
    </row>
    <row r="367" ht="14.25" customHeight="1">
      <c r="A367" s="71"/>
      <c r="B367" s="71"/>
      <c r="G367" s="72"/>
      <c r="X367" s="73"/>
    </row>
    <row r="368" ht="14.25" customHeight="1">
      <c r="A368" s="71"/>
      <c r="B368" s="71"/>
      <c r="G368" s="72"/>
      <c r="X368" s="73"/>
    </row>
    <row r="369" ht="14.25" customHeight="1">
      <c r="A369" s="71"/>
      <c r="B369" s="71"/>
      <c r="G369" s="72"/>
      <c r="X369" s="73"/>
    </row>
    <row r="370" ht="14.25" customHeight="1">
      <c r="A370" s="71"/>
      <c r="B370" s="71"/>
      <c r="G370" s="72"/>
      <c r="X370" s="73"/>
    </row>
    <row r="371" ht="14.25" customHeight="1">
      <c r="A371" s="71"/>
      <c r="B371" s="71"/>
      <c r="G371" s="72"/>
      <c r="X371" s="73"/>
    </row>
    <row r="372" ht="14.25" customHeight="1">
      <c r="A372" s="71"/>
      <c r="B372" s="71"/>
      <c r="G372" s="72"/>
      <c r="X372" s="73"/>
    </row>
    <row r="373" ht="14.25" customHeight="1">
      <c r="A373" s="71"/>
      <c r="B373" s="71"/>
      <c r="G373" s="72"/>
      <c r="X373" s="73"/>
    </row>
    <row r="374" ht="14.25" customHeight="1">
      <c r="A374" s="71"/>
      <c r="B374" s="71"/>
      <c r="G374" s="72"/>
      <c r="X374" s="73"/>
    </row>
    <row r="375" ht="14.25" customHeight="1">
      <c r="A375" s="71"/>
      <c r="B375" s="71"/>
      <c r="G375" s="72"/>
      <c r="X375" s="73"/>
    </row>
    <row r="376" ht="14.25" customHeight="1">
      <c r="A376" s="71"/>
      <c r="B376" s="71"/>
      <c r="G376" s="72"/>
      <c r="X376" s="73"/>
    </row>
    <row r="377" ht="14.25" customHeight="1">
      <c r="A377" s="71"/>
      <c r="B377" s="71"/>
      <c r="G377" s="72"/>
      <c r="X377" s="73"/>
    </row>
    <row r="378" ht="14.25" customHeight="1">
      <c r="A378" s="71"/>
      <c r="B378" s="71"/>
      <c r="G378" s="72"/>
      <c r="X378" s="73"/>
    </row>
    <row r="379" ht="14.25" customHeight="1">
      <c r="A379" s="71"/>
      <c r="B379" s="71"/>
      <c r="G379" s="72"/>
      <c r="X379" s="73"/>
    </row>
    <row r="380" ht="14.25" customHeight="1">
      <c r="A380" s="71"/>
      <c r="B380" s="71"/>
      <c r="G380" s="72"/>
      <c r="X380" s="73"/>
    </row>
    <row r="381" ht="14.25" customHeight="1">
      <c r="A381" s="71"/>
      <c r="B381" s="71"/>
      <c r="G381" s="72"/>
      <c r="X381" s="73"/>
    </row>
    <row r="382" ht="14.25" customHeight="1">
      <c r="A382" s="71"/>
      <c r="B382" s="71"/>
      <c r="G382" s="72"/>
      <c r="X382" s="73"/>
    </row>
    <row r="383" ht="14.25" customHeight="1">
      <c r="A383" s="71"/>
      <c r="B383" s="71"/>
      <c r="G383" s="72"/>
      <c r="X383" s="73"/>
    </row>
    <row r="384" ht="14.25" customHeight="1">
      <c r="A384" s="71"/>
      <c r="B384" s="71"/>
      <c r="G384" s="72"/>
      <c r="X384" s="73"/>
    </row>
    <row r="385" ht="14.25" customHeight="1">
      <c r="A385" s="71"/>
      <c r="B385" s="71"/>
      <c r="G385" s="72"/>
      <c r="X385" s="73"/>
    </row>
    <row r="386" ht="14.25" customHeight="1">
      <c r="A386" s="71"/>
      <c r="B386" s="71"/>
      <c r="G386" s="72"/>
      <c r="X386" s="73"/>
    </row>
    <row r="387" ht="14.25" customHeight="1">
      <c r="A387" s="71"/>
      <c r="B387" s="71"/>
      <c r="G387" s="72"/>
      <c r="X387" s="73"/>
    </row>
    <row r="388" ht="14.25" customHeight="1">
      <c r="A388" s="71"/>
      <c r="B388" s="71"/>
      <c r="G388" s="72"/>
      <c r="X388" s="73"/>
    </row>
    <row r="389" ht="14.25" customHeight="1">
      <c r="A389" s="71"/>
      <c r="B389" s="71"/>
      <c r="G389" s="72"/>
      <c r="X389" s="73"/>
    </row>
    <row r="390" ht="14.25" customHeight="1">
      <c r="A390" s="71"/>
      <c r="B390" s="71"/>
      <c r="G390" s="72"/>
      <c r="X390" s="73"/>
    </row>
    <row r="391" ht="14.25" customHeight="1">
      <c r="A391" s="71"/>
      <c r="B391" s="71"/>
      <c r="G391" s="72"/>
      <c r="X391" s="73"/>
    </row>
    <row r="392" ht="14.25" customHeight="1">
      <c r="A392" s="71"/>
      <c r="B392" s="71"/>
      <c r="G392" s="72"/>
      <c r="X392" s="73"/>
    </row>
    <row r="393" ht="14.25" customHeight="1">
      <c r="A393" s="71"/>
      <c r="B393" s="71"/>
      <c r="G393" s="72"/>
      <c r="X393" s="73"/>
    </row>
    <row r="394" ht="14.25" customHeight="1">
      <c r="A394" s="71"/>
      <c r="B394" s="71"/>
      <c r="G394" s="72"/>
      <c r="X394" s="73"/>
    </row>
    <row r="395" ht="14.25" customHeight="1">
      <c r="A395" s="71"/>
      <c r="B395" s="71"/>
      <c r="G395" s="72"/>
      <c r="X395" s="73"/>
    </row>
    <row r="396" ht="14.25" customHeight="1">
      <c r="A396" s="71"/>
      <c r="B396" s="71"/>
      <c r="G396" s="72"/>
      <c r="X396" s="73"/>
    </row>
    <row r="397" ht="14.25" customHeight="1">
      <c r="A397" s="71"/>
      <c r="B397" s="71"/>
      <c r="G397" s="72"/>
      <c r="X397" s="73"/>
    </row>
    <row r="398" ht="14.25" customHeight="1">
      <c r="A398" s="71"/>
      <c r="B398" s="71"/>
      <c r="G398" s="72"/>
      <c r="X398" s="73"/>
    </row>
    <row r="399" ht="14.25" customHeight="1">
      <c r="A399" s="71"/>
      <c r="B399" s="71"/>
      <c r="G399" s="72"/>
      <c r="X399" s="73"/>
    </row>
    <row r="400" ht="14.25" customHeight="1">
      <c r="A400" s="71"/>
      <c r="B400" s="71"/>
      <c r="G400" s="72"/>
      <c r="X400" s="73"/>
    </row>
    <row r="401" ht="14.25" customHeight="1">
      <c r="A401" s="71"/>
      <c r="B401" s="71"/>
      <c r="G401" s="72"/>
      <c r="X401" s="73"/>
    </row>
    <row r="402" ht="14.25" customHeight="1">
      <c r="A402" s="71"/>
      <c r="B402" s="71"/>
      <c r="G402" s="72"/>
      <c r="X402" s="73"/>
    </row>
    <row r="403" ht="14.25" customHeight="1">
      <c r="A403" s="71"/>
      <c r="B403" s="71"/>
      <c r="G403" s="72"/>
      <c r="X403" s="73"/>
    </row>
    <row r="404" ht="14.25" customHeight="1">
      <c r="A404" s="71"/>
      <c r="B404" s="71"/>
      <c r="G404" s="72"/>
      <c r="X404" s="73"/>
    </row>
    <row r="405" ht="14.25" customHeight="1">
      <c r="A405" s="71"/>
      <c r="B405" s="71"/>
      <c r="G405" s="72"/>
      <c r="X405" s="73"/>
    </row>
    <row r="406" ht="14.25" customHeight="1">
      <c r="A406" s="71"/>
      <c r="B406" s="71"/>
      <c r="G406" s="72"/>
      <c r="X406" s="73"/>
    </row>
    <row r="407" ht="14.25" customHeight="1">
      <c r="A407" s="71"/>
      <c r="B407" s="71"/>
      <c r="G407" s="72"/>
      <c r="X407" s="73"/>
    </row>
    <row r="408" ht="14.25" customHeight="1">
      <c r="A408" s="71"/>
      <c r="B408" s="71"/>
      <c r="G408" s="72"/>
      <c r="X408" s="73"/>
    </row>
    <row r="409" ht="14.25" customHeight="1">
      <c r="A409" s="71"/>
      <c r="B409" s="71"/>
      <c r="G409" s="72"/>
      <c r="X409" s="73"/>
    </row>
    <row r="410" ht="14.25" customHeight="1">
      <c r="A410" s="71"/>
      <c r="B410" s="71"/>
      <c r="G410" s="72"/>
      <c r="X410" s="73"/>
    </row>
    <row r="411" ht="14.25" customHeight="1">
      <c r="A411" s="71"/>
      <c r="B411" s="71"/>
      <c r="G411" s="72"/>
      <c r="X411" s="73"/>
    </row>
    <row r="412" ht="14.25" customHeight="1">
      <c r="A412" s="71"/>
      <c r="B412" s="71"/>
      <c r="G412" s="72"/>
      <c r="X412" s="73"/>
    </row>
    <row r="413" ht="14.25" customHeight="1">
      <c r="A413" s="71"/>
      <c r="B413" s="71"/>
      <c r="G413" s="72"/>
      <c r="X413" s="73"/>
    </row>
    <row r="414" ht="14.25" customHeight="1">
      <c r="A414" s="71"/>
      <c r="B414" s="71"/>
      <c r="G414" s="72"/>
      <c r="X414" s="73"/>
    </row>
    <row r="415" ht="14.25" customHeight="1">
      <c r="A415" s="71"/>
      <c r="B415" s="71"/>
      <c r="G415" s="72"/>
      <c r="X415" s="73"/>
    </row>
    <row r="416" ht="14.25" customHeight="1">
      <c r="A416" s="71"/>
      <c r="B416" s="71"/>
      <c r="G416" s="72"/>
      <c r="X416" s="73"/>
    </row>
    <row r="417" ht="14.25" customHeight="1">
      <c r="A417" s="71"/>
      <c r="B417" s="71"/>
      <c r="G417" s="72"/>
      <c r="X417" s="73"/>
    </row>
    <row r="418" ht="14.25" customHeight="1">
      <c r="A418" s="71"/>
      <c r="B418" s="71"/>
      <c r="G418" s="72"/>
      <c r="X418" s="73"/>
    </row>
    <row r="419" ht="14.25" customHeight="1">
      <c r="A419" s="71"/>
      <c r="B419" s="71"/>
      <c r="G419" s="72"/>
      <c r="X419" s="73"/>
    </row>
    <row r="420" ht="14.25" customHeight="1">
      <c r="A420" s="71"/>
      <c r="B420" s="71"/>
      <c r="G420" s="72"/>
      <c r="X420" s="73"/>
    </row>
    <row r="421" ht="14.25" customHeight="1">
      <c r="A421" s="71"/>
      <c r="B421" s="71"/>
      <c r="G421" s="72"/>
      <c r="X421" s="73"/>
    </row>
    <row r="422" ht="14.25" customHeight="1">
      <c r="A422" s="71"/>
      <c r="B422" s="71"/>
      <c r="G422" s="72"/>
      <c r="X422" s="73"/>
    </row>
    <row r="423" ht="14.25" customHeight="1">
      <c r="A423" s="71"/>
      <c r="B423" s="71"/>
      <c r="G423" s="72"/>
      <c r="X423" s="73"/>
    </row>
    <row r="424" ht="14.25" customHeight="1">
      <c r="A424" s="71"/>
      <c r="B424" s="71"/>
      <c r="G424" s="72"/>
      <c r="X424" s="73"/>
    </row>
    <row r="425" ht="14.25" customHeight="1">
      <c r="A425" s="71"/>
      <c r="B425" s="71"/>
      <c r="G425" s="72"/>
      <c r="X425" s="73"/>
    </row>
    <row r="426" ht="14.25" customHeight="1">
      <c r="A426" s="71"/>
      <c r="B426" s="71"/>
      <c r="G426" s="72"/>
      <c r="X426" s="73"/>
    </row>
    <row r="427" ht="14.25" customHeight="1">
      <c r="A427" s="71"/>
      <c r="B427" s="71"/>
      <c r="G427" s="72"/>
      <c r="X427" s="73"/>
    </row>
    <row r="428" ht="14.25" customHeight="1">
      <c r="A428" s="71"/>
      <c r="B428" s="71"/>
      <c r="G428" s="72"/>
      <c r="X428" s="73"/>
    </row>
    <row r="429" ht="14.25" customHeight="1">
      <c r="A429" s="71"/>
      <c r="B429" s="71"/>
      <c r="G429" s="72"/>
      <c r="X429" s="73"/>
    </row>
    <row r="430" ht="14.25" customHeight="1">
      <c r="A430" s="71"/>
      <c r="B430" s="71"/>
      <c r="G430" s="72"/>
      <c r="X430" s="73"/>
    </row>
    <row r="431" ht="14.25" customHeight="1">
      <c r="A431" s="71"/>
      <c r="B431" s="71"/>
      <c r="G431" s="72"/>
      <c r="X431" s="73"/>
    </row>
    <row r="432" ht="14.25" customHeight="1">
      <c r="A432" s="71"/>
      <c r="B432" s="71"/>
      <c r="G432" s="72"/>
      <c r="X432" s="73"/>
    </row>
    <row r="433" ht="14.25" customHeight="1">
      <c r="A433" s="71"/>
      <c r="B433" s="71"/>
      <c r="G433" s="72"/>
      <c r="X433" s="73"/>
    </row>
    <row r="434" ht="14.25" customHeight="1">
      <c r="A434" s="71"/>
      <c r="B434" s="71"/>
      <c r="G434" s="72"/>
      <c r="X434" s="73"/>
    </row>
    <row r="435" ht="14.25" customHeight="1">
      <c r="A435" s="71"/>
      <c r="B435" s="71"/>
      <c r="G435" s="72"/>
      <c r="X435" s="73"/>
    </row>
    <row r="436" ht="14.25" customHeight="1">
      <c r="A436" s="71"/>
      <c r="B436" s="71"/>
      <c r="G436" s="72"/>
      <c r="X436" s="73"/>
    </row>
    <row r="437" ht="14.25" customHeight="1">
      <c r="A437" s="71"/>
      <c r="B437" s="71"/>
      <c r="G437" s="72"/>
      <c r="X437" s="73"/>
    </row>
    <row r="438" ht="14.25" customHeight="1">
      <c r="A438" s="71"/>
      <c r="B438" s="71"/>
      <c r="G438" s="72"/>
      <c r="X438" s="73"/>
    </row>
    <row r="439" ht="14.25" customHeight="1">
      <c r="A439" s="71"/>
      <c r="B439" s="71"/>
      <c r="G439" s="72"/>
      <c r="X439" s="73"/>
    </row>
    <row r="440" ht="14.25" customHeight="1">
      <c r="A440" s="71"/>
      <c r="B440" s="71"/>
      <c r="G440" s="72"/>
      <c r="X440" s="73"/>
    </row>
    <row r="441" ht="14.25" customHeight="1">
      <c r="A441" s="71"/>
      <c r="B441" s="71"/>
      <c r="G441" s="72"/>
      <c r="X441" s="73"/>
    </row>
    <row r="442" ht="14.25" customHeight="1">
      <c r="A442" s="71"/>
      <c r="B442" s="71"/>
      <c r="G442" s="72"/>
      <c r="X442" s="73"/>
    </row>
    <row r="443" ht="14.25" customHeight="1">
      <c r="A443" s="71"/>
      <c r="B443" s="71"/>
      <c r="G443" s="72"/>
      <c r="X443" s="73"/>
    </row>
    <row r="444" ht="14.25" customHeight="1">
      <c r="A444" s="71"/>
      <c r="B444" s="71"/>
      <c r="G444" s="72"/>
      <c r="X444" s="73"/>
    </row>
    <row r="445" ht="14.25" customHeight="1">
      <c r="A445" s="71"/>
      <c r="B445" s="71"/>
      <c r="G445" s="72"/>
      <c r="X445" s="73"/>
    </row>
    <row r="446" ht="14.25" customHeight="1">
      <c r="A446" s="71"/>
      <c r="B446" s="71"/>
      <c r="G446" s="72"/>
      <c r="X446" s="73"/>
    </row>
    <row r="447" ht="14.25" customHeight="1">
      <c r="A447" s="71"/>
      <c r="B447" s="71"/>
      <c r="G447" s="72"/>
      <c r="X447" s="73"/>
    </row>
    <row r="448" ht="14.25" customHeight="1">
      <c r="A448" s="71"/>
      <c r="B448" s="71"/>
      <c r="G448" s="72"/>
      <c r="X448" s="73"/>
    </row>
    <row r="449" ht="14.25" customHeight="1">
      <c r="A449" s="71"/>
      <c r="B449" s="71"/>
      <c r="G449" s="72"/>
      <c r="X449" s="73"/>
    </row>
    <row r="450" ht="14.25" customHeight="1">
      <c r="A450" s="71"/>
      <c r="B450" s="71"/>
      <c r="G450" s="72"/>
      <c r="X450" s="73"/>
    </row>
    <row r="451" ht="14.25" customHeight="1">
      <c r="A451" s="71"/>
      <c r="B451" s="71"/>
      <c r="G451" s="72"/>
      <c r="X451" s="73"/>
    </row>
    <row r="452" ht="14.25" customHeight="1">
      <c r="A452" s="71"/>
      <c r="B452" s="71"/>
      <c r="G452" s="72"/>
      <c r="X452" s="73"/>
    </row>
    <row r="453" ht="14.25" customHeight="1">
      <c r="A453" s="71"/>
      <c r="B453" s="71"/>
      <c r="G453" s="72"/>
      <c r="X453" s="73"/>
    </row>
    <row r="454" ht="14.25" customHeight="1">
      <c r="A454" s="71"/>
      <c r="B454" s="71"/>
      <c r="G454" s="72"/>
      <c r="X454" s="73"/>
    </row>
    <row r="455" ht="14.25" customHeight="1">
      <c r="A455" s="71"/>
      <c r="B455" s="71"/>
      <c r="G455" s="72"/>
      <c r="X455" s="73"/>
    </row>
    <row r="456" ht="14.25" customHeight="1">
      <c r="A456" s="71"/>
      <c r="B456" s="71"/>
      <c r="G456" s="72"/>
      <c r="X456" s="73"/>
    </row>
    <row r="457" ht="14.25" customHeight="1">
      <c r="A457" s="71"/>
      <c r="B457" s="71"/>
      <c r="G457" s="72"/>
      <c r="X457" s="73"/>
    </row>
    <row r="458" ht="14.25" customHeight="1">
      <c r="A458" s="71"/>
      <c r="B458" s="71"/>
      <c r="G458" s="72"/>
      <c r="X458" s="73"/>
    </row>
    <row r="459" ht="14.25" customHeight="1">
      <c r="A459" s="71"/>
      <c r="B459" s="71"/>
      <c r="G459" s="72"/>
      <c r="X459" s="73"/>
    </row>
    <row r="460" ht="14.25" customHeight="1">
      <c r="A460" s="71"/>
      <c r="B460" s="71"/>
      <c r="G460" s="72"/>
      <c r="X460" s="73"/>
    </row>
    <row r="461" ht="14.25" customHeight="1">
      <c r="A461" s="71"/>
      <c r="B461" s="71"/>
      <c r="G461" s="72"/>
      <c r="X461" s="73"/>
    </row>
    <row r="462" ht="14.25" customHeight="1">
      <c r="A462" s="71"/>
      <c r="B462" s="71"/>
      <c r="G462" s="72"/>
      <c r="X462" s="73"/>
    </row>
    <row r="463" ht="14.25" customHeight="1">
      <c r="A463" s="71"/>
      <c r="B463" s="71"/>
      <c r="G463" s="72"/>
      <c r="X463" s="73"/>
    </row>
    <row r="464" ht="14.25" customHeight="1">
      <c r="A464" s="71"/>
      <c r="B464" s="71"/>
      <c r="G464" s="72"/>
      <c r="X464" s="73"/>
    </row>
    <row r="465" ht="14.25" customHeight="1">
      <c r="A465" s="71"/>
      <c r="B465" s="71"/>
      <c r="G465" s="72"/>
      <c r="X465" s="73"/>
    </row>
    <row r="466" ht="14.25" customHeight="1">
      <c r="A466" s="71"/>
      <c r="B466" s="71"/>
      <c r="G466" s="72"/>
      <c r="X466" s="73"/>
    </row>
    <row r="467" ht="14.25" customHeight="1">
      <c r="A467" s="71"/>
      <c r="B467" s="71"/>
      <c r="G467" s="72"/>
      <c r="X467" s="73"/>
    </row>
    <row r="468" ht="14.25" customHeight="1">
      <c r="A468" s="71"/>
      <c r="B468" s="71"/>
      <c r="G468" s="72"/>
      <c r="X468" s="73"/>
    </row>
    <row r="469" ht="14.25" customHeight="1">
      <c r="A469" s="71"/>
      <c r="B469" s="71"/>
      <c r="G469" s="72"/>
      <c r="X469" s="73"/>
    </row>
    <row r="470" ht="14.25" customHeight="1">
      <c r="A470" s="71"/>
      <c r="B470" s="71"/>
      <c r="G470" s="72"/>
      <c r="X470" s="73"/>
    </row>
    <row r="471" ht="14.25" customHeight="1">
      <c r="A471" s="71"/>
      <c r="B471" s="71"/>
      <c r="G471" s="72"/>
      <c r="X471" s="73"/>
    </row>
    <row r="472" ht="14.25" customHeight="1">
      <c r="A472" s="71"/>
      <c r="B472" s="71"/>
      <c r="G472" s="72"/>
      <c r="X472" s="73"/>
    </row>
    <row r="473" ht="14.25" customHeight="1">
      <c r="A473" s="71"/>
      <c r="B473" s="71"/>
      <c r="G473" s="72"/>
      <c r="X473" s="73"/>
    </row>
    <row r="474" ht="14.25" customHeight="1">
      <c r="A474" s="71"/>
      <c r="B474" s="71"/>
      <c r="G474" s="72"/>
      <c r="X474" s="73"/>
    </row>
    <row r="475" ht="14.25" customHeight="1">
      <c r="A475" s="71"/>
      <c r="B475" s="71"/>
      <c r="G475" s="72"/>
      <c r="X475" s="73"/>
    </row>
    <row r="476" ht="14.25" customHeight="1">
      <c r="A476" s="71"/>
      <c r="B476" s="71"/>
      <c r="G476" s="72"/>
      <c r="X476" s="73"/>
    </row>
    <row r="477" ht="14.25" customHeight="1">
      <c r="A477" s="71"/>
      <c r="B477" s="71"/>
      <c r="G477" s="72"/>
      <c r="X477" s="73"/>
    </row>
    <row r="478" ht="14.25" customHeight="1">
      <c r="A478" s="71"/>
      <c r="B478" s="71"/>
      <c r="G478" s="72"/>
      <c r="X478" s="73"/>
    </row>
    <row r="479" ht="14.25" customHeight="1">
      <c r="A479" s="71"/>
      <c r="B479" s="71"/>
      <c r="G479" s="72"/>
      <c r="X479" s="73"/>
    </row>
    <row r="480" ht="14.25" customHeight="1">
      <c r="A480" s="71"/>
      <c r="B480" s="71"/>
      <c r="G480" s="72"/>
      <c r="X480" s="73"/>
    </row>
    <row r="481" ht="14.25" customHeight="1">
      <c r="A481" s="71"/>
      <c r="B481" s="71"/>
      <c r="G481" s="72"/>
      <c r="X481" s="73"/>
    </row>
    <row r="482" ht="14.25" customHeight="1">
      <c r="A482" s="71"/>
      <c r="B482" s="71"/>
      <c r="G482" s="72"/>
      <c r="X482" s="73"/>
    </row>
    <row r="483" ht="14.25" customHeight="1">
      <c r="A483" s="71"/>
      <c r="B483" s="71"/>
      <c r="G483" s="72"/>
      <c r="X483" s="73"/>
    </row>
    <row r="484" ht="14.25" customHeight="1">
      <c r="A484" s="71"/>
      <c r="B484" s="71"/>
      <c r="G484" s="72"/>
      <c r="X484" s="73"/>
    </row>
    <row r="485" ht="14.25" customHeight="1">
      <c r="A485" s="71"/>
      <c r="B485" s="71"/>
      <c r="G485" s="72"/>
      <c r="X485" s="73"/>
    </row>
    <row r="486" ht="14.25" customHeight="1">
      <c r="A486" s="71"/>
      <c r="B486" s="71"/>
      <c r="G486" s="72"/>
      <c r="X486" s="73"/>
    </row>
    <row r="487" ht="14.25" customHeight="1">
      <c r="A487" s="71"/>
      <c r="B487" s="71"/>
      <c r="G487" s="72"/>
      <c r="X487" s="73"/>
    </row>
    <row r="488" ht="14.25" customHeight="1">
      <c r="A488" s="71"/>
      <c r="B488" s="71"/>
      <c r="G488" s="72"/>
      <c r="X488" s="73"/>
    </row>
    <row r="489" ht="14.25" customHeight="1">
      <c r="A489" s="71"/>
      <c r="B489" s="71"/>
      <c r="G489" s="72"/>
      <c r="X489" s="73"/>
    </row>
    <row r="490" ht="14.25" customHeight="1">
      <c r="A490" s="71"/>
      <c r="B490" s="71"/>
      <c r="G490" s="72"/>
      <c r="X490" s="73"/>
    </row>
    <row r="491" ht="14.25" customHeight="1">
      <c r="A491" s="71"/>
      <c r="B491" s="71"/>
      <c r="G491" s="72"/>
      <c r="X491" s="73"/>
    </row>
    <row r="492" ht="14.25" customHeight="1">
      <c r="A492" s="71"/>
      <c r="B492" s="71"/>
      <c r="G492" s="72"/>
      <c r="X492" s="73"/>
    </row>
    <row r="493" ht="14.25" customHeight="1">
      <c r="A493" s="71"/>
      <c r="B493" s="71"/>
      <c r="G493" s="72"/>
      <c r="X493" s="73"/>
    </row>
    <row r="494" ht="14.25" customHeight="1">
      <c r="A494" s="71"/>
      <c r="B494" s="71"/>
      <c r="G494" s="72"/>
      <c r="X494" s="73"/>
    </row>
    <row r="495" ht="14.25" customHeight="1">
      <c r="A495" s="71"/>
      <c r="B495" s="71"/>
      <c r="G495" s="72"/>
      <c r="X495" s="73"/>
    </row>
    <row r="496" ht="14.25" customHeight="1">
      <c r="A496" s="71"/>
      <c r="B496" s="71"/>
      <c r="G496" s="72"/>
      <c r="X496" s="73"/>
    </row>
    <row r="497" ht="14.25" customHeight="1">
      <c r="A497" s="71"/>
      <c r="B497" s="71"/>
      <c r="G497" s="72"/>
      <c r="X497" s="73"/>
    </row>
    <row r="498" ht="14.25" customHeight="1">
      <c r="A498" s="71"/>
      <c r="B498" s="71"/>
      <c r="G498" s="72"/>
      <c r="X498" s="73"/>
    </row>
    <row r="499" ht="14.25" customHeight="1">
      <c r="A499" s="71"/>
      <c r="B499" s="71"/>
      <c r="G499" s="72"/>
      <c r="X499" s="73"/>
    </row>
    <row r="500" ht="14.25" customHeight="1">
      <c r="A500" s="71"/>
      <c r="B500" s="71"/>
      <c r="G500" s="72"/>
      <c r="X500" s="73"/>
    </row>
    <row r="501" ht="14.25" customHeight="1">
      <c r="A501" s="71"/>
      <c r="B501" s="71"/>
      <c r="G501" s="72"/>
      <c r="X501" s="73"/>
    </row>
    <row r="502" ht="14.25" customHeight="1">
      <c r="A502" s="71"/>
      <c r="B502" s="71"/>
      <c r="G502" s="72"/>
      <c r="X502" s="73"/>
    </row>
    <row r="503" ht="14.25" customHeight="1">
      <c r="A503" s="71"/>
      <c r="B503" s="71"/>
      <c r="G503" s="72"/>
      <c r="X503" s="73"/>
    </row>
    <row r="504" ht="14.25" customHeight="1">
      <c r="A504" s="71"/>
      <c r="B504" s="71"/>
      <c r="G504" s="72"/>
      <c r="X504" s="73"/>
    </row>
    <row r="505" ht="14.25" customHeight="1">
      <c r="A505" s="71"/>
      <c r="B505" s="71"/>
      <c r="G505" s="72"/>
      <c r="X505" s="73"/>
    </row>
    <row r="506" ht="14.25" customHeight="1">
      <c r="A506" s="71"/>
      <c r="B506" s="71"/>
      <c r="G506" s="72"/>
      <c r="X506" s="73"/>
    </row>
    <row r="507" ht="14.25" customHeight="1">
      <c r="A507" s="71"/>
      <c r="B507" s="71"/>
      <c r="G507" s="72"/>
      <c r="X507" s="73"/>
    </row>
    <row r="508" ht="14.25" customHeight="1">
      <c r="A508" s="71"/>
      <c r="B508" s="71"/>
      <c r="G508" s="72"/>
      <c r="X508" s="73"/>
    </row>
    <row r="509" ht="14.25" customHeight="1">
      <c r="A509" s="71"/>
      <c r="B509" s="71"/>
      <c r="G509" s="72"/>
      <c r="X509" s="73"/>
    </row>
    <row r="510" ht="14.25" customHeight="1">
      <c r="A510" s="71"/>
      <c r="B510" s="71"/>
      <c r="G510" s="72"/>
      <c r="X510" s="73"/>
    </row>
    <row r="511" ht="14.25" customHeight="1">
      <c r="A511" s="71"/>
      <c r="B511" s="71"/>
      <c r="G511" s="72"/>
      <c r="X511" s="73"/>
    </row>
    <row r="512" ht="14.25" customHeight="1">
      <c r="A512" s="71"/>
      <c r="B512" s="71"/>
      <c r="G512" s="72"/>
      <c r="X512" s="73"/>
    </row>
    <row r="513" ht="14.25" customHeight="1">
      <c r="A513" s="71"/>
      <c r="B513" s="71"/>
      <c r="G513" s="72"/>
      <c r="X513" s="73"/>
    </row>
    <row r="514" ht="14.25" customHeight="1">
      <c r="A514" s="71"/>
      <c r="B514" s="71"/>
      <c r="G514" s="72"/>
      <c r="X514" s="73"/>
    </row>
    <row r="515" ht="14.25" customHeight="1">
      <c r="A515" s="71"/>
      <c r="B515" s="71"/>
      <c r="G515" s="72"/>
      <c r="X515" s="73"/>
    </row>
    <row r="516" ht="14.25" customHeight="1">
      <c r="A516" s="71"/>
      <c r="B516" s="71"/>
      <c r="G516" s="72"/>
      <c r="X516" s="73"/>
    </row>
    <row r="517" ht="14.25" customHeight="1">
      <c r="A517" s="71"/>
      <c r="B517" s="71"/>
      <c r="G517" s="72"/>
      <c r="X517" s="73"/>
    </row>
    <row r="518" ht="14.25" customHeight="1">
      <c r="A518" s="71"/>
      <c r="B518" s="71"/>
      <c r="G518" s="72"/>
      <c r="X518" s="73"/>
    </row>
    <row r="519" ht="14.25" customHeight="1">
      <c r="A519" s="71"/>
      <c r="B519" s="71"/>
      <c r="G519" s="72"/>
      <c r="X519" s="73"/>
    </row>
    <row r="520" ht="14.25" customHeight="1">
      <c r="A520" s="71"/>
      <c r="B520" s="71"/>
      <c r="G520" s="72"/>
      <c r="X520" s="73"/>
    </row>
    <row r="521" ht="14.25" customHeight="1">
      <c r="A521" s="71"/>
      <c r="B521" s="71"/>
      <c r="G521" s="72"/>
      <c r="X521" s="73"/>
    </row>
    <row r="522" ht="14.25" customHeight="1">
      <c r="A522" s="71"/>
      <c r="B522" s="71"/>
      <c r="G522" s="72"/>
      <c r="X522" s="73"/>
    </row>
    <row r="523" ht="14.25" customHeight="1">
      <c r="A523" s="71"/>
      <c r="B523" s="71"/>
      <c r="G523" s="72"/>
      <c r="X523" s="73"/>
    </row>
    <row r="524" ht="14.25" customHeight="1">
      <c r="A524" s="71"/>
      <c r="B524" s="71"/>
      <c r="G524" s="72"/>
      <c r="X524" s="73"/>
    </row>
    <row r="525" ht="14.25" customHeight="1">
      <c r="A525" s="71"/>
      <c r="B525" s="71"/>
      <c r="G525" s="72"/>
      <c r="X525" s="73"/>
    </row>
    <row r="526" ht="14.25" customHeight="1">
      <c r="A526" s="71"/>
      <c r="B526" s="71"/>
      <c r="G526" s="72"/>
      <c r="X526" s="73"/>
    </row>
    <row r="527" ht="14.25" customHeight="1">
      <c r="A527" s="71"/>
      <c r="B527" s="71"/>
      <c r="G527" s="72"/>
      <c r="X527" s="73"/>
    </row>
    <row r="528" ht="14.25" customHeight="1">
      <c r="A528" s="71"/>
      <c r="B528" s="71"/>
      <c r="G528" s="72"/>
      <c r="X528" s="73"/>
    </row>
    <row r="529" ht="14.25" customHeight="1">
      <c r="A529" s="71"/>
      <c r="B529" s="71"/>
      <c r="G529" s="72"/>
      <c r="X529" s="73"/>
    </row>
    <row r="530" ht="14.25" customHeight="1">
      <c r="A530" s="71"/>
      <c r="B530" s="71"/>
      <c r="G530" s="72"/>
      <c r="X530" s="73"/>
    </row>
    <row r="531" ht="14.25" customHeight="1">
      <c r="A531" s="71"/>
      <c r="B531" s="71"/>
      <c r="G531" s="72"/>
      <c r="X531" s="73"/>
    </row>
    <row r="532" ht="14.25" customHeight="1">
      <c r="A532" s="71"/>
      <c r="B532" s="71"/>
      <c r="G532" s="72"/>
      <c r="X532" s="73"/>
    </row>
    <row r="533" ht="14.25" customHeight="1">
      <c r="A533" s="71"/>
      <c r="B533" s="71"/>
      <c r="G533" s="72"/>
      <c r="X533" s="73"/>
    </row>
    <row r="534" ht="14.25" customHeight="1">
      <c r="A534" s="71"/>
      <c r="B534" s="71"/>
      <c r="G534" s="72"/>
      <c r="X534" s="73"/>
    </row>
    <row r="535" ht="14.25" customHeight="1">
      <c r="A535" s="71"/>
      <c r="B535" s="71"/>
      <c r="G535" s="72"/>
      <c r="X535" s="73"/>
    </row>
    <row r="536" ht="14.25" customHeight="1">
      <c r="A536" s="71"/>
      <c r="B536" s="71"/>
      <c r="G536" s="72"/>
      <c r="X536" s="73"/>
    </row>
    <row r="537" ht="14.25" customHeight="1">
      <c r="A537" s="71"/>
      <c r="B537" s="71"/>
      <c r="G537" s="72"/>
      <c r="X537" s="73"/>
    </row>
    <row r="538" ht="14.25" customHeight="1">
      <c r="A538" s="71"/>
      <c r="B538" s="71"/>
      <c r="G538" s="72"/>
      <c r="X538" s="73"/>
    </row>
    <row r="539" ht="14.25" customHeight="1">
      <c r="A539" s="71"/>
      <c r="B539" s="71"/>
      <c r="G539" s="72"/>
      <c r="X539" s="73"/>
    </row>
    <row r="540" ht="14.25" customHeight="1">
      <c r="A540" s="71"/>
      <c r="B540" s="71"/>
      <c r="G540" s="72"/>
      <c r="X540" s="73"/>
    </row>
    <row r="541" ht="14.25" customHeight="1">
      <c r="A541" s="71"/>
      <c r="B541" s="71"/>
      <c r="G541" s="72"/>
      <c r="X541" s="73"/>
    </row>
    <row r="542" ht="14.25" customHeight="1">
      <c r="A542" s="71"/>
      <c r="B542" s="71"/>
      <c r="G542" s="72"/>
      <c r="X542" s="73"/>
    </row>
    <row r="543" ht="14.25" customHeight="1">
      <c r="A543" s="71"/>
      <c r="B543" s="71"/>
      <c r="G543" s="72"/>
      <c r="X543" s="73"/>
    </row>
    <row r="544" ht="14.25" customHeight="1">
      <c r="A544" s="71"/>
      <c r="B544" s="71"/>
      <c r="G544" s="72"/>
      <c r="X544" s="73"/>
    </row>
    <row r="545" ht="14.25" customHeight="1">
      <c r="A545" s="71"/>
      <c r="B545" s="71"/>
      <c r="G545" s="72"/>
      <c r="X545" s="73"/>
    </row>
    <row r="546" ht="14.25" customHeight="1">
      <c r="A546" s="71"/>
      <c r="B546" s="71"/>
      <c r="G546" s="72"/>
      <c r="X546" s="73"/>
    </row>
    <row r="547" ht="14.25" customHeight="1">
      <c r="A547" s="71"/>
      <c r="B547" s="71"/>
      <c r="G547" s="72"/>
      <c r="X547" s="73"/>
    </row>
    <row r="548" ht="14.25" customHeight="1">
      <c r="A548" s="71"/>
      <c r="B548" s="71"/>
      <c r="G548" s="72"/>
      <c r="X548" s="73"/>
    </row>
    <row r="549" ht="14.25" customHeight="1">
      <c r="A549" s="71"/>
      <c r="B549" s="71"/>
      <c r="G549" s="72"/>
      <c r="X549" s="73"/>
    </row>
    <row r="550" ht="14.25" customHeight="1">
      <c r="A550" s="71"/>
      <c r="B550" s="71"/>
      <c r="G550" s="72"/>
      <c r="X550" s="73"/>
    </row>
    <row r="551" ht="14.25" customHeight="1">
      <c r="A551" s="71"/>
      <c r="B551" s="71"/>
      <c r="G551" s="72"/>
      <c r="X551" s="73"/>
    </row>
    <row r="552" ht="14.25" customHeight="1">
      <c r="A552" s="71"/>
      <c r="B552" s="71"/>
      <c r="G552" s="72"/>
      <c r="X552" s="73"/>
    </row>
    <row r="553" ht="14.25" customHeight="1">
      <c r="A553" s="71"/>
      <c r="B553" s="71"/>
      <c r="G553" s="72"/>
      <c r="X553" s="73"/>
    </row>
    <row r="554" ht="14.25" customHeight="1">
      <c r="A554" s="71"/>
      <c r="B554" s="71"/>
      <c r="G554" s="72"/>
      <c r="X554" s="73"/>
    </row>
    <row r="555" ht="14.25" customHeight="1">
      <c r="A555" s="71"/>
      <c r="B555" s="71"/>
      <c r="G555" s="72"/>
      <c r="X555" s="73"/>
    </row>
    <row r="556" ht="14.25" customHeight="1">
      <c r="A556" s="71"/>
      <c r="B556" s="71"/>
      <c r="G556" s="72"/>
      <c r="X556" s="73"/>
    </row>
    <row r="557" ht="14.25" customHeight="1">
      <c r="A557" s="71"/>
      <c r="B557" s="71"/>
      <c r="G557" s="72"/>
      <c r="X557" s="73"/>
    </row>
    <row r="558" ht="14.25" customHeight="1">
      <c r="A558" s="71"/>
      <c r="B558" s="71"/>
      <c r="G558" s="72"/>
      <c r="X558" s="73"/>
    </row>
    <row r="559" ht="14.25" customHeight="1">
      <c r="A559" s="71"/>
      <c r="B559" s="71"/>
      <c r="G559" s="72"/>
      <c r="X559" s="73"/>
    </row>
    <row r="560" ht="14.25" customHeight="1">
      <c r="A560" s="71"/>
      <c r="B560" s="71"/>
      <c r="G560" s="72"/>
      <c r="X560" s="73"/>
    </row>
    <row r="561" ht="14.25" customHeight="1">
      <c r="A561" s="71"/>
      <c r="B561" s="71"/>
      <c r="G561" s="72"/>
      <c r="X561" s="73"/>
    </row>
    <row r="562" ht="14.25" customHeight="1">
      <c r="A562" s="71"/>
      <c r="B562" s="71"/>
      <c r="G562" s="72"/>
      <c r="X562" s="73"/>
    </row>
    <row r="563" ht="14.25" customHeight="1">
      <c r="A563" s="71"/>
      <c r="B563" s="71"/>
      <c r="G563" s="72"/>
      <c r="X563" s="73"/>
    </row>
    <row r="564" ht="14.25" customHeight="1">
      <c r="A564" s="71"/>
      <c r="B564" s="71"/>
      <c r="G564" s="72"/>
      <c r="X564" s="73"/>
    </row>
    <row r="565" ht="14.25" customHeight="1">
      <c r="A565" s="71"/>
      <c r="B565" s="71"/>
      <c r="G565" s="72"/>
      <c r="X565" s="73"/>
    </row>
    <row r="566" ht="14.25" customHeight="1">
      <c r="A566" s="71"/>
      <c r="B566" s="71"/>
      <c r="G566" s="72"/>
      <c r="X566" s="73"/>
    </row>
    <row r="567" ht="14.25" customHeight="1">
      <c r="A567" s="71"/>
      <c r="B567" s="71"/>
      <c r="G567" s="72"/>
      <c r="X567" s="73"/>
    </row>
    <row r="568" ht="14.25" customHeight="1">
      <c r="A568" s="71"/>
      <c r="B568" s="71"/>
      <c r="G568" s="72"/>
      <c r="X568" s="73"/>
    </row>
    <row r="569" ht="14.25" customHeight="1">
      <c r="A569" s="71"/>
      <c r="B569" s="71"/>
      <c r="G569" s="72"/>
      <c r="X569" s="73"/>
    </row>
    <row r="570" ht="14.25" customHeight="1">
      <c r="A570" s="71"/>
      <c r="B570" s="71"/>
      <c r="G570" s="72"/>
      <c r="X570" s="73"/>
    </row>
    <row r="571" ht="14.25" customHeight="1">
      <c r="A571" s="71"/>
      <c r="B571" s="71"/>
      <c r="G571" s="72"/>
      <c r="X571" s="73"/>
    </row>
    <row r="572" ht="14.25" customHeight="1">
      <c r="A572" s="71"/>
      <c r="B572" s="71"/>
      <c r="G572" s="72"/>
      <c r="X572" s="73"/>
    </row>
    <row r="573" ht="14.25" customHeight="1">
      <c r="A573" s="71"/>
      <c r="B573" s="71"/>
      <c r="G573" s="72"/>
      <c r="X573" s="73"/>
    </row>
    <row r="574" ht="14.25" customHeight="1">
      <c r="A574" s="71"/>
      <c r="B574" s="71"/>
      <c r="G574" s="72"/>
      <c r="X574" s="73"/>
    </row>
    <row r="575" ht="14.25" customHeight="1">
      <c r="A575" s="71"/>
      <c r="B575" s="71"/>
      <c r="G575" s="72"/>
      <c r="X575" s="73"/>
    </row>
    <row r="576" ht="14.25" customHeight="1">
      <c r="A576" s="71"/>
      <c r="B576" s="71"/>
      <c r="G576" s="72"/>
      <c r="X576" s="73"/>
    </row>
    <row r="577" ht="14.25" customHeight="1">
      <c r="A577" s="71"/>
      <c r="B577" s="71"/>
      <c r="G577" s="72"/>
      <c r="X577" s="73"/>
    </row>
    <row r="578" ht="14.25" customHeight="1">
      <c r="A578" s="71"/>
      <c r="B578" s="71"/>
      <c r="G578" s="72"/>
      <c r="X578" s="73"/>
    </row>
    <row r="579" ht="14.25" customHeight="1">
      <c r="A579" s="71"/>
      <c r="B579" s="71"/>
      <c r="G579" s="72"/>
      <c r="X579" s="73"/>
    </row>
    <row r="580" ht="14.25" customHeight="1">
      <c r="A580" s="71"/>
      <c r="B580" s="71"/>
      <c r="G580" s="72"/>
      <c r="X580" s="73"/>
    </row>
    <row r="581" ht="14.25" customHeight="1">
      <c r="A581" s="71"/>
      <c r="B581" s="71"/>
      <c r="G581" s="72"/>
      <c r="X581" s="73"/>
    </row>
    <row r="582" ht="14.25" customHeight="1">
      <c r="A582" s="71"/>
      <c r="B582" s="71"/>
      <c r="G582" s="72"/>
      <c r="X582" s="73"/>
    </row>
    <row r="583" ht="14.25" customHeight="1">
      <c r="A583" s="71"/>
      <c r="B583" s="71"/>
      <c r="G583" s="72"/>
      <c r="X583" s="73"/>
    </row>
    <row r="584" ht="14.25" customHeight="1">
      <c r="A584" s="71"/>
      <c r="B584" s="71"/>
      <c r="G584" s="72"/>
      <c r="X584" s="73"/>
    </row>
    <row r="585" ht="14.25" customHeight="1">
      <c r="A585" s="71"/>
      <c r="B585" s="71"/>
      <c r="G585" s="72"/>
      <c r="X585" s="73"/>
    </row>
    <row r="586" ht="14.25" customHeight="1">
      <c r="A586" s="71"/>
      <c r="B586" s="71"/>
      <c r="G586" s="72"/>
      <c r="X586" s="73"/>
    </row>
    <row r="587" ht="14.25" customHeight="1">
      <c r="A587" s="71"/>
      <c r="B587" s="71"/>
      <c r="G587" s="72"/>
      <c r="X587" s="73"/>
    </row>
    <row r="588" ht="14.25" customHeight="1">
      <c r="A588" s="71"/>
      <c r="B588" s="71"/>
      <c r="G588" s="72"/>
      <c r="X588" s="73"/>
    </row>
    <row r="589" ht="14.25" customHeight="1">
      <c r="A589" s="71"/>
      <c r="B589" s="71"/>
      <c r="G589" s="72"/>
      <c r="X589" s="73"/>
    </row>
    <row r="590" ht="14.25" customHeight="1">
      <c r="A590" s="71"/>
      <c r="B590" s="71"/>
      <c r="G590" s="72"/>
      <c r="X590" s="73"/>
    </row>
    <row r="591" ht="14.25" customHeight="1">
      <c r="A591" s="71"/>
      <c r="B591" s="71"/>
      <c r="G591" s="72"/>
      <c r="X591" s="73"/>
    </row>
    <row r="592" ht="14.25" customHeight="1">
      <c r="A592" s="71"/>
      <c r="B592" s="71"/>
      <c r="G592" s="72"/>
      <c r="X592" s="73"/>
    </row>
    <row r="593" ht="14.25" customHeight="1">
      <c r="A593" s="71"/>
      <c r="B593" s="71"/>
      <c r="G593" s="72"/>
      <c r="X593" s="73"/>
    </row>
    <row r="594" ht="14.25" customHeight="1">
      <c r="A594" s="71"/>
      <c r="B594" s="71"/>
      <c r="G594" s="72"/>
      <c r="X594" s="73"/>
    </row>
    <row r="595" ht="14.25" customHeight="1">
      <c r="A595" s="71"/>
      <c r="B595" s="71"/>
      <c r="G595" s="72"/>
      <c r="X595" s="73"/>
    </row>
    <row r="596" ht="14.25" customHeight="1">
      <c r="A596" s="71"/>
      <c r="B596" s="71"/>
      <c r="G596" s="72"/>
      <c r="X596" s="73"/>
    </row>
    <row r="597" ht="14.25" customHeight="1">
      <c r="A597" s="71"/>
      <c r="B597" s="71"/>
      <c r="G597" s="72"/>
      <c r="X597" s="73"/>
    </row>
    <row r="598" ht="14.25" customHeight="1">
      <c r="A598" s="71"/>
      <c r="B598" s="71"/>
      <c r="G598" s="72"/>
      <c r="X598" s="73"/>
    </row>
    <row r="599" ht="14.25" customHeight="1">
      <c r="A599" s="71"/>
      <c r="B599" s="71"/>
      <c r="G599" s="72"/>
      <c r="X599" s="73"/>
    </row>
    <row r="600" ht="14.25" customHeight="1">
      <c r="A600" s="71"/>
      <c r="B600" s="71"/>
      <c r="G600" s="72"/>
      <c r="X600" s="73"/>
    </row>
    <row r="601" ht="14.25" customHeight="1">
      <c r="A601" s="71"/>
      <c r="B601" s="71"/>
      <c r="G601" s="72"/>
      <c r="X601" s="73"/>
    </row>
    <row r="602" ht="14.25" customHeight="1">
      <c r="A602" s="71"/>
      <c r="B602" s="71"/>
      <c r="G602" s="72"/>
      <c r="X602" s="73"/>
    </row>
    <row r="603" ht="14.25" customHeight="1">
      <c r="A603" s="71"/>
      <c r="B603" s="71"/>
      <c r="G603" s="72"/>
      <c r="X603" s="73"/>
    </row>
    <row r="604" ht="14.25" customHeight="1">
      <c r="A604" s="71"/>
      <c r="B604" s="71"/>
      <c r="G604" s="72"/>
      <c r="X604" s="73"/>
    </row>
    <row r="605" ht="14.25" customHeight="1">
      <c r="A605" s="71"/>
      <c r="B605" s="71"/>
      <c r="G605" s="72"/>
      <c r="X605" s="73"/>
    </row>
    <row r="606" ht="14.25" customHeight="1">
      <c r="A606" s="71"/>
      <c r="B606" s="71"/>
      <c r="G606" s="72"/>
      <c r="X606" s="73"/>
    </row>
    <row r="607" ht="14.25" customHeight="1">
      <c r="A607" s="71"/>
      <c r="B607" s="71"/>
      <c r="G607" s="72"/>
      <c r="X607" s="73"/>
    </row>
    <row r="608" ht="14.25" customHeight="1">
      <c r="A608" s="71"/>
      <c r="B608" s="71"/>
      <c r="G608" s="72"/>
      <c r="X608" s="73"/>
    </row>
    <row r="609" ht="14.25" customHeight="1">
      <c r="A609" s="71"/>
      <c r="B609" s="71"/>
      <c r="G609" s="72"/>
      <c r="X609" s="73"/>
    </row>
    <row r="610" ht="14.25" customHeight="1">
      <c r="A610" s="71"/>
      <c r="B610" s="71"/>
      <c r="G610" s="72"/>
      <c r="X610" s="73"/>
    </row>
    <row r="611" ht="14.25" customHeight="1">
      <c r="A611" s="71"/>
      <c r="B611" s="71"/>
      <c r="G611" s="72"/>
      <c r="X611" s="73"/>
    </row>
    <row r="612" ht="14.25" customHeight="1">
      <c r="A612" s="71"/>
      <c r="B612" s="71"/>
      <c r="G612" s="72"/>
      <c r="X612" s="73"/>
    </row>
    <row r="613" ht="14.25" customHeight="1">
      <c r="A613" s="71"/>
      <c r="B613" s="71"/>
      <c r="G613" s="72"/>
      <c r="X613" s="73"/>
    </row>
    <row r="614" ht="14.25" customHeight="1">
      <c r="A614" s="71"/>
      <c r="B614" s="71"/>
      <c r="G614" s="72"/>
      <c r="X614" s="73"/>
    </row>
    <row r="615" ht="14.25" customHeight="1">
      <c r="A615" s="71"/>
      <c r="B615" s="71"/>
      <c r="G615" s="72"/>
      <c r="X615" s="73"/>
    </row>
    <row r="616" ht="14.25" customHeight="1">
      <c r="A616" s="71"/>
      <c r="B616" s="71"/>
      <c r="G616" s="72"/>
      <c r="X616" s="73"/>
    </row>
    <row r="617" ht="14.25" customHeight="1">
      <c r="A617" s="71"/>
      <c r="B617" s="71"/>
      <c r="G617" s="72"/>
      <c r="X617" s="73"/>
    </row>
    <row r="618" ht="14.25" customHeight="1">
      <c r="A618" s="71"/>
      <c r="B618" s="71"/>
      <c r="G618" s="72"/>
      <c r="X618" s="73"/>
    </row>
    <row r="619" ht="14.25" customHeight="1">
      <c r="A619" s="71"/>
      <c r="B619" s="71"/>
      <c r="G619" s="72"/>
      <c r="X619" s="73"/>
    </row>
    <row r="620" ht="14.25" customHeight="1">
      <c r="A620" s="71"/>
      <c r="B620" s="71"/>
      <c r="G620" s="72"/>
      <c r="X620" s="73"/>
    </row>
    <row r="621" ht="14.25" customHeight="1">
      <c r="A621" s="71"/>
      <c r="B621" s="71"/>
      <c r="G621" s="72"/>
      <c r="X621" s="73"/>
    </row>
    <row r="622" ht="14.25" customHeight="1">
      <c r="A622" s="71"/>
      <c r="B622" s="71"/>
      <c r="G622" s="72"/>
      <c r="X622" s="73"/>
    </row>
    <row r="623" ht="14.25" customHeight="1">
      <c r="A623" s="71"/>
      <c r="B623" s="71"/>
      <c r="G623" s="72"/>
      <c r="X623" s="73"/>
    </row>
    <row r="624" ht="14.25" customHeight="1">
      <c r="A624" s="71"/>
      <c r="B624" s="71"/>
      <c r="G624" s="72"/>
      <c r="X624" s="73"/>
    </row>
    <row r="625" ht="14.25" customHeight="1">
      <c r="A625" s="71"/>
      <c r="B625" s="71"/>
      <c r="G625" s="72"/>
      <c r="X625" s="73"/>
    </row>
    <row r="626" ht="14.25" customHeight="1">
      <c r="A626" s="71"/>
      <c r="B626" s="71"/>
      <c r="G626" s="72"/>
      <c r="X626" s="73"/>
    </row>
    <row r="627" ht="14.25" customHeight="1">
      <c r="A627" s="71"/>
      <c r="B627" s="71"/>
      <c r="G627" s="72"/>
      <c r="X627" s="73"/>
    </row>
    <row r="628" ht="14.25" customHeight="1">
      <c r="A628" s="71"/>
      <c r="B628" s="71"/>
      <c r="G628" s="72"/>
      <c r="X628" s="73"/>
    </row>
    <row r="629" ht="14.25" customHeight="1">
      <c r="A629" s="71"/>
      <c r="B629" s="71"/>
      <c r="G629" s="72"/>
      <c r="X629" s="73"/>
    </row>
    <row r="630" ht="14.25" customHeight="1">
      <c r="A630" s="71"/>
      <c r="B630" s="71"/>
      <c r="G630" s="72"/>
      <c r="X630" s="73"/>
    </row>
    <row r="631" ht="14.25" customHeight="1">
      <c r="A631" s="71"/>
      <c r="B631" s="71"/>
      <c r="G631" s="72"/>
      <c r="X631" s="73"/>
    </row>
    <row r="632" ht="14.25" customHeight="1">
      <c r="A632" s="71"/>
      <c r="B632" s="71"/>
      <c r="G632" s="72"/>
      <c r="X632" s="73"/>
    </row>
    <row r="633" ht="14.25" customHeight="1">
      <c r="A633" s="71"/>
      <c r="B633" s="71"/>
      <c r="G633" s="72"/>
      <c r="X633" s="73"/>
    </row>
    <row r="634" ht="14.25" customHeight="1">
      <c r="A634" s="71"/>
      <c r="B634" s="71"/>
      <c r="G634" s="72"/>
      <c r="X634" s="73"/>
    </row>
    <row r="635" ht="14.25" customHeight="1">
      <c r="A635" s="71"/>
      <c r="B635" s="71"/>
      <c r="G635" s="72"/>
      <c r="X635" s="73"/>
    </row>
    <row r="636" ht="14.25" customHeight="1">
      <c r="A636" s="71"/>
      <c r="B636" s="71"/>
      <c r="G636" s="72"/>
      <c r="X636" s="73"/>
    </row>
    <row r="637" ht="14.25" customHeight="1">
      <c r="A637" s="71"/>
      <c r="B637" s="71"/>
      <c r="G637" s="72"/>
      <c r="X637" s="73"/>
    </row>
    <row r="638" ht="14.25" customHeight="1">
      <c r="A638" s="71"/>
      <c r="B638" s="71"/>
      <c r="G638" s="72"/>
      <c r="X638" s="73"/>
    </row>
    <row r="639" ht="14.25" customHeight="1">
      <c r="A639" s="71"/>
      <c r="B639" s="71"/>
      <c r="G639" s="72"/>
      <c r="X639" s="73"/>
    </row>
    <row r="640" ht="14.25" customHeight="1">
      <c r="A640" s="71"/>
      <c r="B640" s="71"/>
      <c r="G640" s="72"/>
      <c r="X640" s="73"/>
    </row>
    <row r="641" ht="14.25" customHeight="1">
      <c r="A641" s="71"/>
      <c r="B641" s="71"/>
      <c r="G641" s="72"/>
      <c r="X641" s="73"/>
    </row>
    <row r="642" ht="14.25" customHeight="1">
      <c r="A642" s="71"/>
      <c r="B642" s="71"/>
      <c r="G642" s="72"/>
      <c r="X642" s="73"/>
    </row>
    <row r="643" ht="14.25" customHeight="1">
      <c r="A643" s="71"/>
      <c r="B643" s="71"/>
      <c r="G643" s="72"/>
      <c r="X643" s="73"/>
    </row>
    <row r="644" ht="14.25" customHeight="1">
      <c r="A644" s="71"/>
      <c r="B644" s="71"/>
      <c r="G644" s="72"/>
      <c r="X644" s="73"/>
    </row>
    <row r="645" ht="14.25" customHeight="1">
      <c r="A645" s="71"/>
      <c r="B645" s="71"/>
      <c r="G645" s="72"/>
      <c r="X645" s="73"/>
    </row>
    <row r="646" ht="14.25" customHeight="1">
      <c r="A646" s="71"/>
      <c r="B646" s="71"/>
      <c r="G646" s="72"/>
      <c r="X646" s="73"/>
    </row>
    <row r="647" ht="14.25" customHeight="1">
      <c r="A647" s="71"/>
      <c r="B647" s="71"/>
      <c r="G647" s="72"/>
      <c r="X647" s="73"/>
    </row>
    <row r="648" ht="14.25" customHeight="1">
      <c r="A648" s="71"/>
      <c r="B648" s="71"/>
      <c r="G648" s="72"/>
      <c r="X648" s="73"/>
    </row>
    <row r="649" ht="14.25" customHeight="1">
      <c r="A649" s="71"/>
      <c r="B649" s="71"/>
      <c r="G649" s="72"/>
      <c r="X649" s="73"/>
    </row>
    <row r="650" ht="14.25" customHeight="1">
      <c r="A650" s="71"/>
      <c r="B650" s="71"/>
      <c r="G650" s="72"/>
      <c r="X650" s="73"/>
    </row>
    <row r="651" ht="14.25" customHeight="1">
      <c r="A651" s="71"/>
      <c r="B651" s="71"/>
      <c r="G651" s="72"/>
      <c r="X651" s="73"/>
    </row>
    <row r="652" ht="14.25" customHeight="1">
      <c r="A652" s="71"/>
      <c r="B652" s="71"/>
      <c r="G652" s="72"/>
      <c r="X652" s="73"/>
    </row>
    <row r="653" ht="14.25" customHeight="1">
      <c r="A653" s="71"/>
      <c r="B653" s="71"/>
      <c r="G653" s="72"/>
      <c r="X653" s="73"/>
    </row>
    <row r="654" ht="14.25" customHeight="1">
      <c r="A654" s="71"/>
      <c r="B654" s="71"/>
      <c r="G654" s="72"/>
      <c r="X654" s="73"/>
    </row>
    <row r="655" ht="14.25" customHeight="1">
      <c r="A655" s="71"/>
      <c r="B655" s="71"/>
      <c r="G655" s="72"/>
      <c r="X655" s="73"/>
    </row>
    <row r="656" ht="14.25" customHeight="1">
      <c r="A656" s="71"/>
      <c r="B656" s="71"/>
      <c r="G656" s="72"/>
      <c r="X656" s="73"/>
    </row>
    <row r="657" ht="14.25" customHeight="1">
      <c r="A657" s="71"/>
      <c r="B657" s="71"/>
      <c r="G657" s="72"/>
      <c r="X657" s="73"/>
    </row>
    <row r="658" ht="14.25" customHeight="1">
      <c r="A658" s="71"/>
      <c r="B658" s="71"/>
      <c r="G658" s="72"/>
      <c r="X658" s="73"/>
    </row>
    <row r="659" ht="14.25" customHeight="1">
      <c r="A659" s="71"/>
      <c r="B659" s="71"/>
      <c r="G659" s="72"/>
      <c r="X659" s="73"/>
    </row>
    <row r="660" ht="14.25" customHeight="1">
      <c r="A660" s="71"/>
      <c r="B660" s="71"/>
      <c r="G660" s="72"/>
      <c r="X660" s="73"/>
    </row>
    <row r="661" ht="14.25" customHeight="1">
      <c r="A661" s="71"/>
      <c r="B661" s="71"/>
      <c r="G661" s="72"/>
      <c r="X661" s="73"/>
    </row>
    <row r="662" ht="14.25" customHeight="1">
      <c r="A662" s="71"/>
      <c r="B662" s="71"/>
      <c r="G662" s="72"/>
      <c r="X662" s="73"/>
    </row>
    <row r="663" ht="14.25" customHeight="1">
      <c r="A663" s="71"/>
      <c r="B663" s="71"/>
      <c r="G663" s="72"/>
      <c r="X663" s="73"/>
    </row>
    <row r="664" ht="14.25" customHeight="1">
      <c r="A664" s="71"/>
      <c r="B664" s="71"/>
      <c r="G664" s="72"/>
      <c r="X664" s="73"/>
    </row>
    <row r="665" ht="14.25" customHeight="1">
      <c r="A665" s="71"/>
      <c r="B665" s="71"/>
      <c r="G665" s="72"/>
      <c r="X665" s="73"/>
    </row>
    <row r="666" ht="14.25" customHeight="1">
      <c r="A666" s="71"/>
      <c r="B666" s="71"/>
      <c r="G666" s="72"/>
      <c r="X666" s="73"/>
    </row>
    <row r="667" ht="14.25" customHeight="1">
      <c r="A667" s="71"/>
      <c r="B667" s="71"/>
      <c r="G667" s="72"/>
      <c r="X667" s="73"/>
    </row>
    <row r="668" ht="14.25" customHeight="1">
      <c r="A668" s="71"/>
      <c r="B668" s="71"/>
      <c r="G668" s="72"/>
      <c r="X668" s="73"/>
    </row>
    <row r="669" ht="14.25" customHeight="1">
      <c r="A669" s="71"/>
      <c r="B669" s="71"/>
      <c r="G669" s="72"/>
      <c r="X669" s="73"/>
    </row>
    <row r="670" ht="14.25" customHeight="1">
      <c r="A670" s="71"/>
      <c r="B670" s="71"/>
      <c r="G670" s="72"/>
      <c r="X670" s="73"/>
    </row>
    <row r="671" ht="14.25" customHeight="1">
      <c r="A671" s="71"/>
      <c r="B671" s="71"/>
      <c r="G671" s="72"/>
      <c r="X671" s="73"/>
    </row>
    <row r="672" ht="14.25" customHeight="1">
      <c r="A672" s="71"/>
      <c r="B672" s="71"/>
      <c r="G672" s="72"/>
      <c r="X672" s="73"/>
    </row>
    <row r="673" ht="14.25" customHeight="1">
      <c r="A673" s="71"/>
      <c r="B673" s="71"/>
      <c r="G673" s="72"/>
      <c r="X673" s="73"/>
    </row>
    <row r="674" ht="14.25" customHeight="1">
      <c r="A674" s="71"/>
      <c r="B674" s="71"/>
      <c r="G674" s="72"/>
      <c r="X674" s="73"/>
    </row>
    <row r="675" ht="14.25" customHeight="1">
      <c r="A675" s="71"/>
      <c r="B675" s="71"/>
      <c r="G675" s="72"/>
      <c r="X675" s="73"/>
    </row>
    <row r="676" ht="14.25" customHeight="1">
      <c r="A676" s="71"/>
      <c r="B676" s="71"/>
      <c r="G676" s="72"/>
      <c r="X676" s="73"/>
    </row>
    <row r="677" ht="14.25" customHeight="1">
      <c r="A677" s="71"/>
      <c r="B677" s="71"/>
      <c r="G677" s="72"/>
      <c r="X677" s="73"/>
    </row>
    <row r="678" ht="14.25" customHeight="1">
      <c r="A678" s="71"/>
      <c r="B678" s="71"/>
      <c r="G678" s="72"/>
      <c r="X678" s="73"/>
    </row>
    <row r="679" ht="14.25" customHeight="1">
      <c r="A679" s="71"/>
      <c r="B679" s="71"/>
      <c r="G679" s="72"/>
      <c r="X679" s="73"/>
    </row>
    <row r="680" ht="14.25" customHeight="1">
      <c r="A680" s="71"/>
      <c r="B680" s="71"/>
      <c r="G680" s="72"/>
      <c r="X680" s="73"/>
    </row>
    <row r="681" ht="14.25" customHeight="1">
      <c r="A681" s="71"/>
      <c r="B681" s="71"/>
      <c r="G681" s="72"/>
      <c r="X681" s="73"/>
    </row>
    <row r="682" ht="14.25" customHeight="1">
      <c r="A682" s="71"/>
      <c r="B682" s="71"/>
      <c r="G682" s="72"/>
      <c r="X682" s="73"/>
    </row>
    <row r="683" ht="14.25" customHeight="1">
      <c r="A683" s="71"/>
      <c r="B683" s="71"/>
      <c r="G683" s="72"/>
      <c r="X683" s="73"/>
    </row>
    <row r="684" ht="14.25" customHeight="1">
      <c r="A684" s="71"/>
      <c r="B684" s="71"/>
      <c r="G684" s="72"/>
      <c r="X684" s="73"/>
    </row>
    <row r="685" ht="14.25" customHeight="1">
      <c r="A685" s="71"/>
      <c r="B685" s="71"/>
      <c r="G685" s="72"/>
      <c r="X685" s="73"/>
    </row>
    <row r="686" ht="14.25" customHeight="1">
      <c r="A686" s="71"/>
      <c r="B686" s="71"/>
      <c r="G686" s="72"/>
      <c r="X686" s="73"/>
    </row>
    <row r="687" ht="14.25" customHeight="1">
      <c r="A687" s="71"/>
      <c r="B687" s="71"/>
      <c r="G687" s="72"/>
      <c r="X687" s="73"/>
    </row>
    <row r="688" ht="14.25" customHeight="1">
      <c r="A688" s="71"/>
      <c r="B688" s="71"/>
      <c r="G688" s="72"/>
      <c r="X688" s="73"/>
    </row>
    <row r="689" ht="14.25" customHeight="1">
      <c r="A689" s="71"/>
      <c r="B689" s="71"/>
      <c r="G689" s="72"/>
      <c r="X689" s="73"/>
    </row>
    <row r="690" ht="14.25" customHeight="1">
      <c r="A690" s="71"/>
      <c r="B690" s="71"/>
      <c r="G690" s="72"/>
      <c r="X690" s="73"/>
    </row>
    <row r="691" ht="14.25" customHeight="1">
      <c r="A691" s="71"/>
      <c r="B691" s="71"/>
      <c r="G691" s="72"/>
      <c r="X691" s="73"/>
    </row>
    <row r="692" ht="14.25" customHeight="1">
      <c r="A692" s="71"/>
      <c r="B692" s="71"/>
      <c r="G692" s="72"/>
      <c r="X692" s="73"/>
    </row>
    <row r="693" ht="14.25" customHeight="1">
      <c r="A693" s="71"/>
      <c r="B693" s="71"/>
      <c r="G693" s="72"/>
      <c r="X693" s="73"/>
    </row>
    <row r="694" ht="14.25" customHeight="1">
      <c r="A694" s="71"/>
      <c r="B694" s="71"/>
      <c r="G694" s="72"/>
      <c r="X694" s="73"/>
    </row>
    <row r="695" ht="14.25" customHeight="1">
      <c r="A695" s="71"/>
      <c r="B695" s="71"/>
      <c r="G695" s="72"/>
      <c r="X695" s="73"/>
    </row>
    <row r="696" ht="14.25" customHeight="1">
      <c r="A696" s="71"/>
      <c r="B696" s="71"/>
      <c r="G696" s="72"/>
      <c r="X696" s="73"/>
    </row>
    <row r="697" ht="14.25" customHeight="1">
      <c r="A697" s="71"/>
      <c r="B697" s="71"/>
      <c r="G697" s="72"/>
      <c r="X697" s="73"/>
    </row>
    <row r="698" ht="14.25" customHeight="1">
      <c r="A698" s="71"/>
      <c r="B698" s="71"/>
      <c r="G698" s="72"/>
      <c r="X698" s="73"/>
    </row>
    <row r="699" ht="14.25" customHeight="1">
      <c r="A699" s="71"/>
      <c r="B699" s="71"/>
      <c r="G699" s="72"/>
      <c r="X699" s="73"/>
    </row>
    <row r="700" ht="14.25" customHeight="1">
      <c r="A700" s="71"/>
      <c r="B700" s="71"/>
      <c r="G700" s="72"/>
      <c r="X700" s="73"/>
    </row>
    <row r="701" ht="14.25" customHeight="1">
      <c r="A701" s="71"/>
      <c r="B701" s="71"/>
      <c r="G701" s="72"/>
      <c r="X701" s="73"/>
    </row>
    <row r="702" ht="14.25" customHeight="1">
      <c r="A702" s="71"/>
      <c r="B702" s="71"/>
      <c r="G702" s="72"/>
      <c r="X702" s="73"/>
    </row>
    <row r="703" ht="14.25" customHeight="1">
      <c r="A703" s="71"/>
      <c r="B703" s="71"/>
      <c r="G703" s="72"/>
      <c r="X703" s="73"/>
    </row>
    <row r="704" ht="14.25" customHeight="1">
      <c r="A704" s="71"/>
      <c r="B704" s="71"/>
      <c r="G704" s="72"/>
      <c r="X704" s="73"/>
    </row>
    <row r="705" ht="14.25" customHeight="1">
      <c r="A705" s="71"/>
      <c r="B705" s="71"/>
      <c r="G705" s="72"/>
      <c r="X705" s="73"/>
    </row>
    <row r="706" ht="14.25" customHeight="1">
      <c r="A706" s="71"/>
      <c r="B706" s="71"/>
      <c r="G706" s="72"/>
      <c r="X706" s="73"/>
    </row>
    <row r="707" ht="14.25" customHeight="1">
      <c r="A707" s="71"/>
      <c r="B707" s="71"/>
      <c r="G707" s="72"/>
      <c r="X707" s="73"/>
    </row>
    <row r="708" ht="14.25" customHeight="1">
      <c r="A708" s="71"/>
      <c r="B708" s="71"/>
      <c r="G708" s="72"/>
      <c r="X708" s="73"/>
    </row>
    <row r="709" ht="14.25" customHeight="1">
      <c r="A709" s="71"/>
      <c r="B709" s="71"/>
      <c r="G709" s="72"/>
      <c r="X709" s="73"/>
    </row>
    <row r="710" ht="14.25" customHeight="1">
      <c r="A710" s="71"/>
      <c r="B710" s="71"/>
      <c r="G710" s="72"/>
      <c r="X710" s="73"/>
    </row>
    <row r="711" ht="14.25" customHeight="1">
      <c r="A711" s="71"/>
      <c r="B711" s="71"/>
      <c r="G711" s="72"/>
      <c r="X711" s="73"/>
    </row>
    <row r="712" ht="14.25" customHeight="1">
      <c r="A712" s="71"/>
      <c r="B712" s="71"/>
      <c r="G712" s="72"/>
      <c r="X712" s="73"/>
    </row>
    <row r="713" ht="14.25" customHeight="1">
      <c r="A713" s="71"/>
      <c r="B713" s="71"/>
      <c r="G713" s="72"/>
      <c r="X713" s="73"/>
    </row>
    <row r="714" ht="14.25" customHeight="1">
      <c r="A714" s="71"/>
      <c r="B714" s="71"/>
      <c r="G714" s="72"/>
      <c r="X714" s="73"/>
    </row>
    <row r="715" ht="14.25" customHeight="1">
      <c r="A715" s="71"/>
      <c r="B715" s="71"/>
      <c r="G715" s="72"/>
      <c r="X715" s="73"/>
    </row>
    <row r="716" ht="14.25" customHeight="1">
      <c r="A716" s="71"/>
      <c r="B716" s="71"/>
      <c r="G716" s="72"/>
      <c r="X716" s="73"/>
    </row>
    <row r="717" ht="14.25" customHeight="1">
      <c r="A717" s="71"/>
      <c r="B717" s="71"/>
      <c r="G717" s="72"/>
      <c r="X717" s="73"/>
    </row>
    <row r="718" ht="14.25" customHeight="1">
      <c r="A718" s="71"/>
      <c r="B718" s="71"/>
      <c r="G718" s="72"/>
      <c r="X718" s="73"/>
    </row>
    <row r="719" ht="14.25" customHeight="1">
      <c r="A719" s="71"/>
      <c r="B719" s="71"/>
      <c r="G719" s="72"/>
      <c r="X719" s="73"/>
    </row>
    <row r="720" ht="14.25" customHeight="1">
      <c r="A720" s="71"/>
      <c r="B720" s="71"/>
      <c r="G720" s="72"/>
      <c r="X720" s="73"/>
    </row>
    <row r="721" ht="14.25" customHeight="1">
      <c r="A721" s="71"/>
      <c r="B721" s="71"/>
      <c r="G721" s="72"/>
      <c r="X721" s="73"/>
    </row>
    <row r="722" ht="14.25" customHeight="1">
      <c r="A722" s="71"/>
      <c r="B722" s="71"/>
      <c r="G722" s="72"/>
      <c r="X722" s="73"/>
    </row>
    <row r="723" ht="14.25" customHeight="1">
      <c r="A723" s="71"/>
      <c r="B723" s="71"/>
      <c r="G723" s="72"/>
      <c r="X723" s="73"/>
    </row>
    <row r="724" ht="14.25" customHeight="1">
      <c r="A724" s="71"/>
      <c r="B724" s="71"/>
      <c r="G724" s="72"/>
      <c r="X724" s="73"/>
    </row>
    <row r="725" ht="14.25" customHeight="1">
      <c r="A725" s="71"/>
      <c r="B725" s="71"/>
      <c r="G725" s="72"/>
      <c r="X725" s="73"/>
    </row>
    <row r="726" ht="14.25" customHeight="1">
      <c r="A726" s="71"/>
      <c r="B726" s="71"/>
      <c r="G726" s="72"/>
      <c r="X726" s="73"/>
    </row>
    <row r="727" ht="14.25" customHeight="1">
      <c r="A727" s="71"/>
      <c r="B727" s="71"/>
      <c r="G727" s="72"/>
      <c r="X727" s="73"/>
    </row>
    <row r="728" ht="14.25" customHeight="1">
      <c r="A728" s="71"/>
      <c r="B728" s="71"/>
      <c r="G728" s="72"/>
      <c r="X728" s="73"/>
    </row>
    <row r="729" ht="14.25" customHeight="1">
      <c r="A729" s="71"/>
      <c r="B729" s="71"/>
      <c r="G729" s="72"/>
      <c r="X729" s="73"/>
    </row>
    <row r="730" ht="14.25" customHeight="1">
      <c r="A730" s="71"/>
      <c r="B730" s="71"/>
      <c r="G730" s="72"/>
      <c r="X730" s="73"/>
    </row>
    <row r="731" ht="14.25" customHeight="1">
      <c r="A731" s="71"/>
      <c r="B731" s="71"/>
      <c r="G731" s="72"/>
      <c r="X731" s="73"/>
    </row>
    <row r="732" ht="14.25" customHeight="1">
      <c r="A732" s="71"/>
      <c r="B732" s="71"/>
      <c r="G732" s="72"/>
      <c r="X732" s="73"/>
    </row>
    <row r="733" ht="14.25" customHeight="1">
      <c r="A733" s="71"/>
      <c r="B733" s="71"/>
      <c r="G733" s="72"/>
      <c r="X733" s="73"/>
    </row>
    <row r="734" ht="14.25" customHeight="1">
      <c r="A734" s="71"/>
      <c r="B734" s="71"/>
      <c r="G734" s="72"/>
      <c r="X734" s="73"/>
    </row>
    <row r="735" ht="14.25" customHeight="1">
      <c r="A735" s="71"/>
      <c r="B735" s="71"/>
      <c r="G735" s="72"/>
      <c r="X735" s="73"/>
    </row>
    <row r="736" ht="14.25" customHeight="1">
      <c r="A736" s="71"/>
      <c r="B736" s="71"/>
      <c r="G736" s="72"/>
      <c r="X736" s="73"/>
    </row>
    <row r="737" ht="14.25" customHeight="1">
      <c r="A737" s="71"/>
      <c r="B737" s="71"/>
      <c r="G737" s="72"/>
      <c r="X737" s="73"/>
    </row>
    <row r="738" ht="14.25" customHeight="1">
      <c r="A738" s="71"/>
      <c r="B738" s="71"/>
      <c r="G738" s="72"/>
      <c r="X738" s="73"/>
    </row>
    <row r="739" ht="14.25" customHeight="1">
      <c r="A739" s="71"/>
      <c r="B739" s="71"/>
      <c r="G739" s="72"/>
      <c r="X739" s="73"/>
    </row>
    <row r="740" ht="14.25" customHeight="1">
      <c r="A740" s="71"/>
      <c r="B740" s="71"/>
      <c r="G740" s="72"/>
      <c r="X740" s="73"/>
    </row>
    <row r="741" ht="14.25" customHeight="1">
      <c r="A741" s="71"/>
      <c r="B741" s="71"/>
      <c r="G741" s="72"/>
      <c r="X741" s="73"/>
    </row>
    <row r="742" ht="14.25" customHeight="1">
      <c r="A742" s="71"/>
      <c r="B742" s="71"/>
      <c r="G742" s="72"/>
      <c r="X742" s="73"/>
    </row>
    <row r="743" ht="14.25" customHeight="1">
      <c r="A743" s="71"/>
      <c r="B743" s="71"/>
      <c r="G743" s="72"/>
      <c r="X743" s="73"/>
    </row>
    <row r="744" ht="14.25" customHeight="1">
      <c r="A744" s="71"/>
      <c r="B744" s="71"/>
      <c r="G744" s="72"/>
      <c r="X744" s="73"/>
    </row>
    <row r="745" ht="14.25" customHeight="1">
      <c r="A745" s="71"/>
      <c r="B745" s="71"/>
      <c r="G745" s="72"/>
      <c r="X745" s="73"/>
    </row>
    <row r="746" ht="14.25" customHeight="1">
      <c r="A746" s="71"/>
      <c r="B746" s="71"/>
      <c r="G746" s="72"/>
      <c r="X746" s="73"/>
    </row>
    <row r="747" ht="14.25" customHeight="1">
      <c r="A747" s="71"/>
      <c r="B747" s="71"/>
      <c r="G747" s="72"/>
      <c r="X747" s="73"/>
    </row>
    <row r="748" ht="14.25" customHeight="1">
      <c r="A748" s="71"/>
      <c r="B748" s="71"/>
      <c r="G748" s="72"/>
      <c r="X748" s="73"/>
    </row>
    <row r="749" ht="14.25" customHeight="1">
      <c r="A749" s="71"/>
      <c r="B749" s="71"/>
      <c r="G749" s="72"/>
      <c r="X749" s="73"/>
    </row>
    <row r="750" ht="14.25" customHeight="1">
      <c r="A750" s="71"/>
      <c r="B750" s="71"/>
      <c r="G750" s="72"/>
      <c r="X750" s="73"/>
    </row>
    <row r="751" ht="14.25" customHeight="1">
      <c r="A751" s="71"/>
      <c r="B751" s="71"/>
      <c r="G751" s="72"/>
      <c r="X751" s="73"/>
    </row>
    <row r="752" ht="14.25" customHeight="1">
      <c r="A752" s="71"/>
      <c r="B752" s="71"/>
      <c r="G752" s="72"/>
      <c r="X752" s="73"/>
    </row>
    <row r="753" ht="14.25" customHeight="1">
      <c r="A753" s="71"/>
      <c r="B753" s="71"/>
      <c r="G753" s="72"/>
      <c r="X753" s="73"/>
    </row>
    <row r="754" ht="14.25" customHeight="1">
      <c r="A754" s="71"/>
      <c r="B754" s="71"/>
      <c r="G754" s="72"/>
      <c r="X754" s="73"/>
    </row>
    <row r="755" ht="14.25" customHeight="1">
      <c r="A755" s="71"/>
      <c r="B755" s="71"/>
      <c r="G755" s="72"/>
      <c r="X755" s="73"/>
    </row>
    <row r="756" ht="14.25" customHeight="1">
      <c r="A756" s="71"/>
      <c r="B756" s="71"/>
      <c r="G756" s="72"/>
      <c r="X756" s="73"/>
    </row>
    <row r="757" ht="14.25" customHeight="1">
      <c r="A757" s="71"/>
      <c r="B757" s="71"/>
      <c r="G757" s="72"/>
      <c r="X757" s="73"/>
    </row>
    <row r="758" ht="14.25" customHeight="1">
      <c r="A758" s="71"/>
      <c r="B758" s="71"/>
      <c r="G758" s="72"/>
      <c r="X758" s="73"/>
    </row>
    <row r="759" ht="14.25" customHeight="1">
      <c r="A759" s="71"/>
      <c r="B759" s="71"/>
      <c r="G759" s="72"/>
      <c r="X759" s="73"/>
    </row>
    <row r="760" ht="14.25" customHeight="1">
      <c r="A760" s="71"/>
      <c r="B760" s="71"/>
      <c r="G760" s="72"/>
      <c r="X760" s="73"/>
    </row>
    <row r="761" ht="14.25" customHeight="1">
      <c r="A761" s="71"/>
      <c r="B761" s="71"/>
      <c r="G761" s="72"/>
      <c r="X761" s="73"/>
    </row>
    <row r="762" ht="14.25" customHeight="1">
      <c r="A762" s="71"/>
      <c r="B762" s="71"/>
      <c r="G762" s="72"/>
      <c r="X762" s="73"/>
    </row>
    <row r="763" ht="14.25" customHeight="1">
      <c r="A763" s="71"/>
      <c r="B763" s="71"/>
      <c r="G763" s="72"/>
      <c r="X763" s="73"/>
    </row>
    <row r="764" ht="14.25" customHeight="1">
      <c r="A764" s="71"/>
      <c r="B764" s="71"/>
      <c r="G764" s="72"/>
      <c r="X764" s="73"/>
    </row>
    <row r="765" ht="14.25" customHeight="1">
      <c r="A765" s="71"/>
      <c r="B765" s="71"/>
      <c r="G765" s="72"/>
      <c r="X765" s="73"/>
    </row>
    <row r="766" ht="14.25" customHeight="1">
      <c r="A766" s="71"/>
      <c r="B766" s="71"/>
      <c r="G766" s="72"/>
      <c r="X766" s="73"/>
    </row>
    <row r="767" ht="14.25" customHeight="1">
      <c r="A767" s="71"/>
      <c r="B767" s="71"/>
      <c r="G767" s="72"/>
      <c r="X767" s="73"/>
    </row>
    <row r="768" ht="14.25" customHeight="1">
      <c r="A768" s="71"/>
      <c r="B768" s="71"/>
      <c r="G768" s="72"/>
      <c r="X768" s="73"/>
    </row>
    <row r="769" ht="14.25" customHeight="1">
      <c r="A769" s="71"/>
      <c r="B769" s="71"/>
      <c r="G769" s="72"/>
      <c r="X769" s="73"/>
    </row>
    <row r="770" ht="14.25" customHeight="1">
      <c r="A770" s="71"/>
      <c r="B770" s="71"/>
      <c r="G770" s="72"/>
      <c r="X770" s="73"/>
    </row>
    <row r="771" ht="14.25" customHeight="1">
      <c r="A771" s="71"/>
      <c r="B771" s="71"/>
      <c r="G771" s="72"/>
      <c r="X771" s="73"/>
    </row>
    <row r="772" ht="14.25" customHeight="1">
      <c r="A772" s="71"/>
      <c r="B772" s="71"/>
      <c r="G772" s="72"/>
      <c r="X772" s="73"/>
    </row>
    <row r="773" ht="14.25" customHeight="1">
      <c r="A773" s="71"/>
      <c r="B773" s="71"/>
      <c r="G773" s="72"/>
      <c r="X773" s="73"/>
    </row>
    <row r="774" ht="14.25" customHeight="1">
      <c r="A774" s="71"/>
      <c r="B774" s="71"/>
      <c r="G774" s="72"/>
      <c r="X774" s="73"/>
    </row>
    <row r="775" ht="14.25" customHeight="1">
      <c r="A775" s="71"/>
      <c r="B775" s="71"/>
      <c r="G775" s="72"/>
      <c r="X775" s="73"/>
    </row>
    <row r="776" ht="14.25" customHeight="1">
      <c r="A776" s="71"/>
      <c r="B776" s="71"/>
      <c r="G776" s="72"/>
      <c r="X776" s="73"/>
    </row>
    <row r="777" ht="14.25" customHeight="1">
      <c r="A777" s="71"/>
      <c r="B777" s="71"/>
      <c r="G777" s="72"/>
      <c r="X777" s="73"/>
    </row>
    <row r="778" ht="14.25" customHeight="1">
      <c r="A778" s="71"/>
      <c r="B778" s="71"/>
      <c r="G778" s="72"/>
      <c r="X778" s="73"/>
    </row>
    <row r="779" ht="14.25" customHeight="1">
      <c r="A779" s="71"/>
      <c r="B779" s="71"/>
      <c r="G779" s="72"/>
      <c r="X779" s="73"/>
    </row>
    <row r="780" ht="14.25" customHeight="1">
      <c r="A780" s="71"/>
      <c r="B780" s="71"/>
      <c r="G780" s="72"/>
      <c r="X780" s="73"/>
    </row>
    <row r="781" ht="14.25" customHeight="1">
      <c r="A781" s="71"/>
      <c r="B781" s="71"/>
      <c r="G781" s="72"/>
      <c r="X781" s="73"/>
    </row>
    <row r="782" ht="14.25" customHeight="1">
      <c r="A782" s="71"/>
      <c r="B782" s="71"/>
      <c r="G782" s="72"/>
      <c r="X782" s="73"/>
    </row>
    <row r="783" ht="14.25" customHeight="1">
      <c r="A783" s="71"/>
      <c r="B783" s="71"/>
      <c r="G783" s="72"/>
      <c r="X783" s="73"/>
    </row>
    <row r="784" ht="14.25" customHeight="1">
      <c r="A784" s="71"/>
      <c r="B784" s="71"/>
      <c r="G784" s="72"/>
      <c r="X784" s="73"/>
    </row>
    <row r="785" ht="14.25" customHeight="1">
      <c r="A785" s="71"/>
      <c r="B785" s="71"/>
      <c r="G785" s="72"/>
      <c r="X785" s="73"/>
    </row>
    <row r="786" ht="14.25" customHeight="1">
      <c r="A786" s="71"/>
      <c r="B786" s="71"/>
      <c r="G786" s="72"/>
      <c r="X786" s="73"/>
    </row>
    <row r="787" ht="14.25" customHeight="1">
      <c r="A787" s="71"/>
      <c r="B787" s="71"/>
      <c r="G787" s="72"/>
      <c r="X787" s="73"/>
    </row>
    <row r="788" ht="14.25" customHeight="1">
      <c r="A788" s="71"/>
      <c r="B788" s="71"/>
      <c r="G788" s="72"/>
      <c r="X788" s="73"/>
    </row>
    <row r="789" ht="14.25" customHeight="1">
      <c r="A789" s="71"/>
      <c r="B789" s="71"/>
      <c r="G789" s="72"/>
      <c r="X789" s="73"/>
    </row>
    <row r="790" ht="14.25" customHeight="1">
      <c r="A790" s="71"/>
      <c r="B790" s="71"/>
      <c r="G790" s="72"/>
      <c r="X790" s="73"/>
    </row>
    <row r="791" ht="14.25" customHeight="1">
      <c r="A791" s="71"/>
      <c r="B791" s="71"/>
      <c r="G791" s="72"/>
      <c r="X791" s="73"/>
    </row>
    <row r="792" ht="14.25" customHeight="1">
      <c r="A792" s="71"/>
      <c r="B792" s="71"/>
      <c r="G792" s="72"/>
      <c r="X792" s="73"/>
    </row>
    <row r="793" ht="14.25" customHeight="1">
      <c r="A793" s="71"/>
      <c r="B793" s="71"/>
      <c r="G793" s="72"/>
      <c r="X793" s="73"/>
    </row>
    <row r="794" ht="14.25" customHeight="1">
      <c r="A794" s="71"/>
      <c r="B794" s="71"/>
      <c r="G794" s="72"/>
      <c r="X794" s="73"/>
    </row>
    <row r="795" ht="14.25" customHeight="1">
      <c r="A795" s="71"/>
      <c r="B795" s="71"/>
      <c r="G795" s="72"/>
      <c r="X795" s="73"/>
    </row>
    <row r="796" ht="14.25" customHeight="1">
      <c r="A796" s="71"/>
      <c r="B796" s="71"/>
      <c r="G796" s="72"/>
      <c r="X796" s="73"/>
    </row>
    <row r="797" ht="14.25" customHeight="1">
      <c r="A797" s="71"/>
      <c r="B797" s="71"/>
      <c r="G797" s="72"/>
      <c r="X797" s="73"/>
    </row>
    <row r="798" ht="14.25" customHeight="1">
      <c r="A798" s="71"/>
      <c r="B798" s="71"/>
      <c r="G798" s="72"/>
      <c r="X798" s="73"/>
    </row>
    <row r="799" ht="14.25" customHeight="1">
      <c r="A799" s="71"/>
      <c r="B799" s="71"/>
      <c r="G799" s="72"/>
      <c r="X799" s="73"/>
    </row>
    <row r="800" ht="14.25" customHeight="1">
      <c r="A800" s="71"/>
      <c r="B800" s="71"/>
      <c r="G800" s="72"/>
      <c r="X800" s="73"/>
    </row>
    <row r="801" ht="14.25" customHeight="1">
      <c r="A801" s="71"/>
      <c r="B801" s="71"/>
      <c r="G801" s="72"/>
      <c r="X801" s="73"/>
    </row>
    <row r="802" ht="14.25" customHeight="1">
      <c r="A802" s="71"/>
      <c r="B802" s="71"/>
      <c r="G802" s="72"/>
      <c r="X802" s="73"/>
    </row>
    <row r="803" ht="14.25" customHeight="1">
      <c r="A803" s="71"/>
      <c r="B803" s="71"/>
      <c r="G803" s="72"/>
      <c r="X803" s="73"/>
    </row>
    <row r="804" ht="14.25" customHeight="1">
      <c r="A804" s="71"/>
      <c r="B804" s="71"/>
      <c r="G804" s="72"/>
      <c r="X804" s="73"/>
    </row>
    <row r="805" ht="14.25" customHeight="1">
      <c r="A805" s="71"/>
      <c r="B805" s="71"/>
      <c r="G805" s="72"/>
      <c r="X805" s="73"/>
    </row>
    <row r="806" ht="14.25" customHeight="1">
      <c r="A806" s="71"/>
      <c r="B806" s="71"/>
      <c r="G806" s="72"/>
      <c r="X806" s="73"/>
    </row>
    <row r="807" ht="14.25" customHeight="1">
      <c r="A807" s="71"/>
      <c r="B807" s="71"/>
      <c r="G807" s="72"/>
      <c r="X807" s="73"/>
    </row>
    <row r="808" ht="14.25" customHeight="1">
      <c r="A808" s="71"/>
      <c r="B808" s="71"/>
      <c r="G808" s="72"/>
      <c r="X808" s="73"/>
    </row>
    <row r="809" ht="14.25" customHeight="1">
      <c r="A809" s="71"/>
      <c r="B809" s="71"/>
      <c r="G809" s="72"/>
      <c r="X809" s="73"/>
    </row>
    <row r="810" ht="14.25" customHeight="1">
      <c r="A810" s="71"/>
      <c r="B810" s="71"/>
      <c r="G810" s="72"/>
      <c r="X810" s="73"/>
    </row>
    <row r="811" ht="14.25" customHeight="1">
      <c r="A811" s="71"/>
      <c r="B811" s="71"/>
      <c r="G811" s="72"/>
      <c r="X811" s="73"/>
    </row>
    <row r="812" ht="14.25" customHeight="1">
      <c r="A812" s="71"/>
      <c r="B812" s="71"/>
      <c r="G812" s="72"/>
      <c r="X812" s="73"/>
    </row>
    <row r="813" ht="14.25" customHeight="1">
      <c r="A813" s="71"/>
      <c r="B813" s="71"/>
      <c r="G813" s="72"/>
      <c r="X813" s="73"/>
    </row>
    <row r="814" ht="14.25" customHeight="1">
      <c r="A814" s="71"/>
      <c r="B814" s="71"/>
      <c r="G814" s="72"/>
      <c r="X814" s="73"/>
    </row>
    <row r="815" ht="14.25" customHeight="1">
      <c r="A815" s="71"/>
      <c r="B815" s="71"/>
      <c r="G815" s="72"/>
      <c r="X815" s="73"/>
    </row>
    <row r="816" ht="14.25" customHeight="1">
      <c r="A816" s="71"/>
      <c r="B816" s="71"/>
      <c r="G816" s="72"/>
      <c r="X816" s="73"/>
    </row>
    <row r="817" ht="14.25" customHeight="1">
      <c r="A817" s="71"/>
      <c r="B817" s="71"/>
      <c r="G817" s="72"/>
      <c r="X817" s="73"/>
    </row>
    <row r="818" ht="14.25" customHeight="1">
      <c r="A818" s="71"/>
      <c r="B818" s="71"/>
      <c r="G818" s="72"/>
      <c r="X818" s="73"/>
    </row>
    <row r="819" ht="14.25" customHeight="1">
      <c r="A819" s="71"/>
      <c r="B819" s="71"/>
      <c r="G819" s="72"/>
      <c r="X819" s="73"/>
    </row>
    <row r="820" ht="14.25" customHeight="1">
      <c r="A820" s="71"/>
      <c r="B820" s="71"/>
      <c r="G820" s="72"/>
      <c r="X820" s="73"/>
    </row>
    <row r="821" ht="14.25" customHeight="1">
      <c r="A821" s="71"/>
      <c r="B821" s="71"/>
      <c r="G821" s="72"/>
      <c r="X821" s="73"/>
    </row>
    <row r="822" ht="14.25" customHeight="1">
      <c r="A822" s="71"/>
      <c r="B822" s="71"/>
      <c r="G822" s="72"/>
      <c r="X822" s="73"/>
    </row>
    <row r="823" ht="14.25" customHeight="1">
      <c r="A823" s="71"/>
      <c r="B823" s="71"/>
      <c r="G823" s="72"/>
      <c r="X823" s="73"/>
    </row>
    <row r="824" ht="14.25" customHeight="1">
      <c r="A824" s="71"/>
      <c r="B824" s="71"/>
      <c r="G824" s="72"/>
      <c r="X824" s="73"/>
    </row>
    <row r="825" ht="14.25" customHeight="1">
      <c r="A825" s="71"/>
      <c r="B825" s="71"/>
      <c r="G825" s="72"/>
      <c r="X825" s="73"/>
    </row>
    <row r="826" ht="14.25" customHeight="1">
      <c r="A826" s="71"/>
      <c r="B826" s="71"/>
      <c r="G826" s="72"/>
      <c r="X826" s="73"/>
    </row>
    <row r="827" ht="14.25" customHeight="1">
      <c r="A827" s="71"/>
      <c r="B827" s="71"/>
      <c r="G827" s="72"/>
      <c r="X827" s="73"/>
    </row>
    <row r="828" ht="14.25" customHeight="1">
      <c r="A828" s="71"/>
      <c r="B828" s="71"/>
      <c r="G828" s="72"/>
      <c r="X828" s="73"/>
    </row>
    <row r="829" ht="14.25" customHeight="1">
      <c r="A829" s="71"/>
      <c r="B829" s="71"/>
      <c r="G829" s="72"/>
      <c r="X829" s="73"/>
    </row>
    <row r="830" ht="14.25" customHeight="1">
      <c r="A830" s="71"/>
      <c r="B830" s="71"/>
      <c r="G830" s="72"/>
      <c r="X830" s="73"/>
    </row>
    <row r="831" ht="14.25" customHeight="1">
      <c r="A831" s="71"/>
      <c r="B831" s="71"/>
      <c r="G831" s="72"/>
      <c r="X831" s="73"/>
    </row>
    <row r="832" ht="14.25" customHeight="1">
      <c r="A832" s="71"/>
      <c r="B832" s="71"/>
      <c r="G832" s="72"/>
      <c r="X832" s="73"/>
    </row>
    <row r="833" ht="14.25" customHeight="1">
      <c r="A833" s="71"/>
      <c r="B833" s="71"/>
      <c r="G833" s="72"/>
      <c r="X833" s="73"/>
    </row>
    <row r="834" ht="14.25" customHeight="1">
      <c r="A834" s="71"/>
      <c r="B834" s="71"/>
      <c r="G834" s="72"/>
      <c r="X834" s="73"/>
    </row>
    <row r="835" ht="14.25" customHeight="1">
      <c r="A835" s="71"/>
      <c r="B835" s="71"/>
      <c r="G835" s="72"/>
      <c r="X835" s="73"/>
    </row>
    <row r="836" ht="14.25" customHeight="1">
      <c r="A836" s="71"/>
      <c r="B836" s="71"/>
      <c r="G836" s="72"/>
      <c r="X836" s="73"/>
    </row>
    <row r="837" ht="14.25" customHeight="1">
      <c r="A837" s="71"/>
      <c r="B837" s="71"/>
      <c r="G837" s="72"/>
      <c r="X837" s="73"/>
    </row>
    <row r="838" ht="14.25" customHeight="1">
      <c r="A838" s="71"/>
      <c r="B838" s="71"/>
      <c r="G838" s="72"/>
      <c r="X838" s="73"/>
    </row>
    <row r="839" ht="14.25" customHeight="1">
      <c r="A839" s="71"/>
      <c r="B839" s="71"/>
      <c r="G839" s="72"/>
      <c r="X839" s="73"/>
    </row>
    <row r="840" ht="14.25" customHeight="1">
      <c r="A840" s="71"/>
      <c r="B840" s="71"/>
      <c r="G840" s="72"/>
      <c r="X840" s="73"/>
    </row>
    <row r="841" ht="14.25" customHeight="1">
      <c r="A841" s="71"/>
      <c r="B841" s="71"/>
      <c r="G841" s="72"/>
      <c r="X841" s="73"/>
    </row>
    <row r="842" ht="14.25" customHeight="1">
      <c r="A842" s="71"/>
      <c r="B842" s="71"/>
      <c r="G842" s="72"/>
      <c r="X842" s="73"/>
    </row>
    <row r="843" ht="14.25" customHeight="1">
      <c r="A843" s="71"/>
      <c r="B843" s="71"/>
      <c r="G843" s="72"/>
      <c r="X843" s="73"/>
    </row>
    <row r="844" ht="14.25" customHeight="1">
      <c r="A844" s="71"/>
      <c r="B844" s="71"/>
      <c r="G844" s="72"/>
      <c r="X844" s="73"/>
    </row>
    <row r="845" ht="14.25" customHeight="1">
      <c r="A845" s="71"/>
      <c r="B845" s="71"/>
      <c r="G845" s="72"/>
      <c r="X845" s="73"/>
    </row>
    <row r="846" ht="14.25" customHeight="1">
      <c r="A846" s="71"/>
      <c r="B846" s="71"/>
      <c r="G846" s="72"/>
      <c r="X846" s="73"/>
    </row>
    <row r="847" ht="14.25" customHeight="1">
      <c r="A847" s="71"/>
      <c r="B847" s="71"/>
      <c r="G847" s="72"/>
      <c r="X847" s="73"/>
    </row>
    <row r="848" ht="14.25" customHeight="1">
      <c r="A848" s="71"/>
      <c r="B848" s="71"/>
      <c r="G848" s="72"/>
      <c r="X848" s="73"/>
    </row>
    <row r="849" ht="14.25" customHeight="1">
      <c r="A849" s="71"/>
      <c r="B849" s="71"/>
      <c r="G849" s="72"/>
      <c r="X849" s="73"/>
    </row>
    <row r="850" ht="14.25" customHeight="1">
      <c r="A850" s="71"/>
      <c r="B850" s="71"/>
      <c r="G850" s="72"/>
      <c r="X850" s="73"/>
    </row>
    <row r="851" ht="14.25" customHeight="1">
      <c r="A851" s="71"/>
      <c r="B851" s="71"/>
      <c r="G851" s="72"/>
      <c r="X851" s="73"/>
    </row>
    <row r="852" ht="14.25" customHeight="1">
      <c r="A852" s="71"/>
      <c r="B852" s="71"/>
      <c r="G852" s="72"/>
      <c r="X852" s="73"/>
    </row>
    <row r="853" ht="14.25" customHeight="1">
      <c r="A853" s="71"/>
      <c r="B853" s="71"/>
      <c r="G853" s="72"/>
      <c r="X853" s="73"/>
    </row>
    <row r="854" ht="14.25" customHeight="1">
      <c r="A854" s="71"/>
      <c r="B854" s="71"/>
      <c r="G854" s="72"/>
      <c r="X854" s="73"/>
    </row>
    <row r="855" ht="14.25" customHeight="1">
      <c r="A855" s="71"/>
      <c r="B855" s="71"/>
      <c r="G855" s="72"/>
      <c r="X855" s="73"/>
    </row>
    <row r="856" ht="14.25" customHeight="1">
      <c r="A856" s="71"/>
      <c r="B856" s="71"/>
      <c r="G856" s="72"/>
      <c r="X856" s="73"/>
    </row>
    <row r="857" ht="14.25" customHeight="1">
      <c r="A857" s="71"/>
      <c r="B857" s="71"/>
      <c r="G857" s="72"/>
      <c r="X857" s="73"/>
    </row>
    <row r="858" ht="14.25" customHeight="1">
      <c r="A858" s="71"/>
      <c r="B858" s="71"/>
      <c r="G858" s="72"/>
      <c r="X858" s="73"/>
    </row>
    <row r="859" ht="14.25" customHeight="1">
      <c r="A859" s="71"/>
      <c r="B859" s="71"/>
      <c r="G859" s="72"/>
      <c r="X859" s="73"/>
    </row>
    <row r="860" ht="14.25" customHeight="1">
      <c r="A860" s="71"/>
      <c r="B860" s="71"/>
      <c r="G860" s="72"/>
      <c r="X860" s="73"/>
    </row>
    <row r="861" ht="14.25" customHeight="1">
      <c r="A861" s="71"/>
      <c r="B861" s="71"/>
      <c r="G861" s="72"/>
      <c r="X861" s="73"/>
    </row>
    <row r="862" ht="14.25" customHeight="1">
      <c r="A862" s="71"/>
      <c r="B862" s="71"/>
      <c r="G862" s="72"/>
      <c r="X862" s="73"/>
    </row>
    <row r="863" ht="14.25" customHeight="1">
      <c r="A863" s="71"/>
      <c r="B863" s="71"/>
      <c r="G863" s="72"/>
      <c r="X863" s="73"/>
    </row>
    <row r="864" ht="14.25" customHeight="1">
      <c r="A864" s="71"/>
      <c r="B864" s="71"/>
      <c r="G864" s="72"/>
      <c r="X864" s="73"/>
    </row>
    <row r="865" ht="14.25" customHeight="1">
      <c r="A865" s="71"/>
      <c r="B865" s="71"/>
      <c r="G865" s="72"/>
      <c r="X865" s="73"/>
    </row>
    <row r="866" ht="14.25" customHeight="1">
      <c r="A866" s="71"/>
      <c r="B866" s="71"/>
      <c r="G866" s="72"/>
      <c r="X866" s="73"/>
    </row>
    <row r="867" ht="14.25" customHeight="1">
      <c r="A867" s="71"/>
      <c r="B867" s="71"/>
      <c r="G867" s="72"/>
      <c r="X867" s="73"/>
    </row>
    <row r="868" ht="14.25" customHeight="1">
      <c r="A868" s="71"/>
      <c r="B868" s="71"/>
      <c r="G868" s="72"/>
      <c r="X868" s="73"/>
    </row>
    <row r="869" ht="14.25" customHeight="1">
      <c r="A869" s="71"/>
      <c r="B869" s="71"/>
      <c r="G869" s="72"/>
      <c r="X869" s="73"/>
    </row>
    <row r="870" ht="14.25" customHeight="1">
      <c r="A870" s="71"/>
      <c r="B870" s="71"/>
      <c r="G870" s="72"/>
      <c r="X870" s="73"/>
    </row>
    <row r="871" ht="14.25" customHeight="1">
      <c r="A871" s="71"/>
      <c r="B871" s="71"/>
      <c r="G871" s="72"/>
      <c r="X871" s="73"/>
    </row>
    <row r="872" ht="14.25" customHeight="1">
      <c r="A872" s="71"/>
      <c r="B872" s="71"/>
      <c r="G872" s="72"/>
      <c r="X872" s="73"/>
    </row>
    <row r="873" ht="14.25" customHeight="1">
      <c r="A873" s="71"/>
      <c r="B873" s="71"/>
      <c r="G873" s="72"/>
      <c r="X873" s="73"/>
    </row>
    <row r="874" ht="14.25" customHeight="1">
      <c r="A874" s="71"/>
      <c r="B874" s="71"/>
      <c r="G874" s="72"/>
      <c r="X874" s="73"/>
    </row>
    <row r="875" ht="14.25" customHeight="1">
      <c r="A875" s="71"/>
      <c r="B875" s="71"/>
      <c r="G875" s="72"/>
      <c r="X875" s="73"/>
    </row>
    <row r="876" ht="14.25" customHeight="1">
      <c r="A876" s="71"/>
      <c r="B876" s="71"/>
      <c r="G876" s="72"/>
      <c r="X876" s="73"/>
    </row>
    <row r="877" ht="14.25" customHeight="1">
      <c r="A877" s="71"/>
      <c r="B877" s="71"/>
      <c r="G877" s="72"/>
      <c r="X877" s="73"/>
    </row>
    <row r="878" ht="14.25" customHeight="1">
      <c r="A878" s="71"/>
      <c r="B878" s="71"/>
      <c r="G878" s="72"/>
      <c r="X878" s="73"/>
    </row>
    <row r="879" ht="14.25" customHeight="1">
      <c r="A879" s="71"/>
      <c r="B879" s="71"/>
      <c r="G879" s="72"/>
      <c r="X879" s="73"/>
    </row>
    <row r="880" ht="14.25" customHeight="1">
      <c r="A880" s="71"/>
      <c r="B880" s="71"/>
      <c r="G880" s="72"/>
      <c r="X880" s="73"/>
    </row>
    <row r="881" ht="14.25" customHeight="1">
      <c r="A881" s="71"/>
      <c r="B881" s="71"/>
      <c r="G881" s="72"/>
      <c r="X881" s="73"/>
    </row>
    <row r="882" ht="14.25" customHeight="1">
      <c r="A882" s="71"/>
      <c r="B882" s="71"/>
      <c r="G882" s="72"/>
      <c r="X882" s="73"/>
    </row>
    <row r="883" ht="14.25" customHeight="1">
      <c r="A883" s="71"/>
      <c r="B883" s="71"/>
      <c r="G883" s="72"/>
      <c r="X883" s="73"/>
    </row>
    <row r="884" ht="14.25" customHeight="1">
      <c r="A884" s="71"/>
      <c r="B884" s="71"/>
      <c r="G884" s="72"/>
      <c r="X884" s="73"/>
    </row>
    <row r="885" ht="14.25" customHeight="1">
      <c r="A885" s="71"/>
      <c r="B885" s="71"/>
      <c r="G885" s="72"/>
      <c r="X885" s="73"/>
    </row>
    <row r="886" ht="14.25" customHeight="1">
      <c r="A886" s="71"/>
      <c r="B886" s="71"/>
      <c r="G886" s="72"/>
      <c r="X886" s="73"/>
    </row>
    <row r="887" ht="14.25" customHeight="1">
      <c r="A887" s="71"/>
      <c r="B887" s="71"/>
      <c r="G887" s="72"/>
      <c r="X887" s="73"/>
    </row>
    <row r="888" ht="14.25" customHeight="1">
      <c r="A888" s="71"/>
      <c r="B888" s="71"/>
      <c r="G888" s="72"/>
      <c r="X888" s="73"/>
    </row>
    <row r="889" ht="14.25" customHeight="1">
      <c r="A889" s="71"/>
      <c r="B889" s="71"/>
      <c r="G889" s="72"/>
      <c r="X889" s="73"/>
    </row>
    <row r="890" ht="14.25" customHeight="1">
      <c r="A890" s="71"/>
      <c r="B890" s="71"/>
      <c r="G890" s="72"/>
      <c r="X890" s="73"/>
    </row>
    <row r="891" ht="14.25" customHeight="1">
      <c r="A891" s="71"/>
      <c r="B891" s="71"/>
      <c r="G891" s="72"/>
      <c r="X891" s="73"/>
    </row>
    <row r="892" ht="14.25" customHeight="1">
      <c r="A892" s="71"/>
      <c r="B892" s="71"/>
      <c r="G892" s="72"/>
      <c r="X892" s="73"/>
    </row>
    <row r="893" ht="14.25" customHeight="1">
      <c r="A893" s="71"/>
      <c r="B893" s="71"/>
      <c r="G893" s="72"/>
      <c r="X893" s="73"/>
    </row>
    <row r="894" ht="14.25" customHeight="1">
      <c r="A894" s="71"/>
      <c r="B894" s="71"/>
      <c r="G894" s="72"/>
      <c r="X894" s="73"/>
    </row>
    <row r="895" ht="14.25" customHeight="1">
      <c r="A895" s="71"/>
      <c r="B895" s="71"/>
      <c r="G895" s="72"/>
      <c r="X895" s="73"/>
    </row>
    <row r="896" ht="14.25" customHeight="1">
      <c r="A896" s="71"/>
      <c r="B896" s="71"/>
      <c r="G896" s="72"/>
      <c r="X896" s="73"/>
    </row>
    <row r="897" ht="14.25" customHeight="1">
      <c r="A897" s="71"/>
      <c r="B897" s="71"/>
      <c r="G897" s="72"/>
      <c r="X897" s="73"/>
    </row>
    <row r="898" ht="14.25" customHeight="1">
      <c r="A898" s="71"/>
      <c r="B898" s="71"/>
      <c r="G898" s="72"/>
      <c r="X898" s="73"/>
    </row>
    <row r="899" ht="14.25" customHeight="1">
      <c r="A899" s="71"/>
      <c r="B899" s="71"/>
      <c r="G899" s="72"/>
      <c r="X899" s="73"/>
    </row>
    <row r="900" ht="14.25" customHeight="1">
      <c r="A900" s="71"/>
      <c r="B900" s="71"/>
      <c r="G900" s="72"/>
      <c r="X900" s="73"/>
    </row>
    <row r="901" ht="14.25" customHeight="1">
      <c r="A901" s="71"/>
      <c r="B901" s="71"/>
      <c r="G901" s="72"/>
      <c r="X901" s="73"/>
    </row>
    <row r="902" ht="14.25" customHeight="1">
      <c r="A902" s="71"/>
      <c r="B902" s="71"/>
      <c r="G902" s="72"/>
      <c r="X902" s="73"/>
    </row>
    <row r="903" ht="14.25" customHeight="1">
      <c r="A903" s="71"/>
      <c r="B903" s="71"/>
      <c r="G903" s="72"/>
      <c r="X903" s="73"/>
    </row>
    <row r="904" ht="14.25" customHeight="1">
      <c r="A904" s="71"/>
      <c r="B904" s="71"/>
      <c r="G904" s="72"/>
      <c r="X904" s="73"/>
    </row>
    <row r="905" ht="14.25" customHeight="1">
      <c r="A905" s="71"/>
      <c r="B905" s="71"/>
      <c r="G905" s="72"/>
      <c r="X905" s="73"/>
    </row>
    <row r="906" ht="14.25" customHeight="1">
      <c r="A906" s="71"/>
      <c r="B906" s="71"/>
      <c r="G906" s="72"/>
      <c r="X906" s="73"/>
    </row>
    <row r="907" ht="14.25" customHeight="1">
      <c r="A907" s="71"/>
      <c r="B907" s="71"/>
      <c r="G907" s="72"/>
      <c r="X907" s="73"/>
    </row>
    <row r="908" ht="14.25" customHeight="1">
      <c r="A908" s="71"/>
      <c r="B908" s="71"/>
      <c r="G908" s="72"/>
      <c r="X908" s="73"/>
    </row>
    <row r="909" ht="14.25" customHeight="1">
      <c r="A909" s="71"/>
      <c r="B909" s="71"/>
      <c r="G909" s="72"/>
      <c r="X909" s="73"/>
    </row>
    <row r="910" ht="14.25" customHeight="1">
      <c r="A910" s="71"/>
      <c r="B910" s="71"/>
      <c r="G910" s="72"/>
      <c r="X910" s="73"/>
    </row>
    <row r="911" ht="14.25" customHeight="1">
      <c r="A911" s="71"/>
      <c r="B911" s="71"/>
      <c r="G911" s="72"/>
      <c r="X911" s="73"/>
    </row>
    <row r="912" ht="14.25" customHeight="1">
      <c r="A912" s="71"/>
      <c r="B912" s="71"/>
      <c r="G912" s="72"/>
      <c r="X912" s="73"/>
    </row>
    <row r="913" ht="14.25" customHeight="1">
      <c r="A913" s="71"/>
      <c r="B913" s="71"/>
      <c r="G913" s="72"/>
      <c r="X913" s="73"/>
    </row>
    <row r="914" ht="14.25" customHeight="1">
      <c r="A914" s="71"/>
      <c r="B914" s="71"/>
      <c r="G914" s="72"/>
      <c r="X914" s="73"/>
    </row>
    <row r="915" ht="14.25" customHeight="1">
      <c r="A915" s="71"/>
      <c r="B915" s="71"/>
      <c r="G915" s="72"/>
      <c r="X915" s="73"/>
    </row>
    <row r="916" ht="14.25" customHeight="1">
      <c r="A916" s="71"/>
      <c r="B916" s="71"/>
      <c r="G916" s="72"/>
      <c r="X916" s="73"/>
    </row>
    <row r="917" ht="14.25" customHeight="1">
      <c r="A917" s="71"/>
      <c r="B917" s="71"/>
      <c r="G917" s="72"/>
      <c r="X917" s="73"/>
    </row>
    <row r="918" ht="14.25" customHeight="1">
      <c r="A918" s="71"/>
      <c r="B918" s="71"/>
      <c r="G918" s="72"/>
      <c r="X918" s="73"/>
    </row>
    <row r="919" ht="14.25" customHeight="1">
      <c r="A919" s="71"/>
      <c r="B919" s="71"/>
      <c r="G919" s="72"/>
      <c r="X919" s="73"/>
    </row>
    <row r="920" ht="14.25" customHeight="1">
      <c r="A920" s="71"/>
      <c r="B920" s="71"/>
      <c r="G920" s="72"/>
      <c r="X920" s="73"/>
    </row>
    <row r="921" ht="14.25" customHeight="1">
      <c r="A921" s="71"/>
      <c r="B921" s="71"/>
      <c r="G921" s="72"/>
      <c r="X921" s="73"/>
    </row>
    <row r="922" ht="14.25" customHeight="1">
      <c r="A922" s="71"/>
      <c r="B922" s="71"/>
      <c r="G922" s="72"/>
      <c r="X922" s="73"/>
    </row>
    <row r="923" ht="14.25" customHeight="1">
      <c r="A923" s="71"/>
      <c r="B923" s="71"/>
      <c r="G923" s="72"/>
      <c r="X923" s="73"/>
    </row>
    <row r="924" ht="14.25" customHeight="1">
      <c r="A924" s="71"/>
      <c r="B924" s="71"/>
      <c r="G924" s="72"/>
      <c r="X924" s="73"/>
    </row>
    <row r="925" ht="14.25" customHeight="1">
      <c r="A925" s="71"/>
      <c r="B925" s="71"/>
      <c r="G925" s="72"/>
      <c r="X925" s="73"/>
    </row>
    <row r="926" ht="14.25" customHeight="1">
      <c r="A926" s="71"/>
      <c r="B926" s="71"/>
      <c r="G926" s="72"/>
      <c r="X926" s="73"/>
    </row>
    <row r="927" ht="14.25" customHeight="1">
      <c r="A927" s="71"/>
      <c r="B927" s="71"/>
      <c r="G927" s="72"/>
      <c r="X927" s="73"/>
    </row>
    <row r="928" ht="14.25" customHeight="1">
      <c r="A928" s="71"/>
      <c r="B928" s="71"/>
      <c r="G928" s="72"/>
      <c r="X928" s="73"/>
    </row>
    <row r="929" ht="14.25" customHeight="1">
      <c r="A929" s="71"/>
      <c r="B929" s="71"/>
      <c r="G929" s="72"/>
      <c r="X929" s="73"/>
    </row>
    <row r="930" ht="14.25" customHeight="1">
      <c r="A930" s="71"/>
      <c r="B930" s="71"/>
      <c r="G930" s="72"/>
      <c r="X930" s="73"/>
    </row>
    <row r="931" ht="14.25" customHeight="1">
      <c r="A931" s="71"/>
      <c r="B931" s="71"/>
      <c r="G931" s="72"/>
      <c r="X931" s="73"/>
    </row>
    <row r="932" ht="14.25" customHeight="1">
      <c r="A932" s="71"/>
      <c r="B932" s="71"/>
      <c r="G932" s="72"/>
      <c r="X932" s="73"/>
    </row>
    <row r="933" ht="14.25" customHeight="1">
      <c r="A933" s="71"/>
      <c r="B933" s="71"/>
      <c r="G933" s="72"/>
      <c r="X933" s="73"/>
    </row>
    <row r="934" ht="14.25" customHeight="1">
      <c r="A934" s="71"/>
      <c r="B934" s="71"/>
      <c r="G934" s="72"/>
      <c r="X934" s="73"/>
    </row>
    <row r="935" ht="14.25" customHeight="1">
      <c r="A935" s="71"/>
      <c r="B935" s="71"/>
      <c r="G935" s="72"/>
      <c r="X935" s="73"/>
    </row>
    <row r="936" ht="14.25" customHeight="1">
      <c r="A936" s="71"/>
      <c r="B936" s="71"/>
      <c r="G936" s="72"/>
      <c r="X936" s="73"/>
    </row>
    <row r="937" ht="14.25" customHeight="1">
      <c r="A937" s="71"/>
      <c r="B937" s="71"/>
      <c r="G937" s="72"/>
      <c r="X937" s="73"/>
    </row>
    <row r="938" ht="14.25" customHeight="1">
      <c r="A938" s="71"/>
      <c r="B938" s="71"/>
      <c r="G938" s="72"/>
      <c r="X938" s="73"/>
    </row>
    <row r="939" ht="14.25" customHeight="1">
      <c r="A939" s="71"/>
      <c r="B939" s="71"/>
      <c r="G939" s="72"/>
      <c r="X939" s="73"/>
    </row>
    <row r="940" ht="14.25" customHeight="1">
      <c r="A940" s="71"/>
      <c r="B940" s="71"/>
      <c r="G940" s="72"/>
      <c r="X940" s="73"/>
    </row>
    <row r="941" ht="14.25" customHeight="1">
      <c r="A941" s="71"/>
      <c r="B941" s="71"/>
      <c r="G941" s="72"/>
      <c r="X941" s="73"/>
    </row>
    <row r="942" ht="14.25" customHeight="1">
      <c r="A942" s="71"/>
      <c r="B942" s="71"/>
      <c r="G942" s="72"/>
      <c r="X942" s="73"/>
    </row>
    <row r="943" ht="14.25" customHeight="1">
      <c r="A943" s="71"/>
      <c r="B943" s="71"/>
      <c r="G943" s="72"/>
      <c r="X943" s="73"/>
    </row>
    <row r="944" ht="14.25" customHeight="1">
      <c r="A944" s="71"/>
      <c r="B944" s="71"/>
      <c r="G944" s="72"/>
      <c r="X944" s="73"/>
    </row>
    <row r="945" ht="14.25" customHeight="1">
      <c r="A945" s="71"/>
      <c r="B945" s="71"/>
      <c r="G945" s="72"/>
      <c r="X945" s="73"/>
    </row>
    <row r="946" ht="14.25" customHeight="1">
      <c r="A946" s="71"/>
      <c r="B946" s="71"/>
      <c r="G946" s="72"/>
      <c r="X946" s="73"/>
    </row>
    <row r="947" ht="14.25" customHeight="1">
      <c r="A947" s="71"/>
      <c r="B947" s="71"/>
      <c r="G947" s="72"/>
      <c r="X947" s="73"/>
    </row>
    <row r="948" ht="14.25" customHeight="1">
      <c r="A948" s="71"/>
      <c r="B948" s="71"/>
      <c r="G948" s="72"/>
      <c r="X948" s="73"/>
    </row>
    <row r="949" ht="14.25" customHeight="1">
      <c r="A949" s="71"/>
      <c r="B949" s="71"/>
      <c r="G949" s="72"/>
      <c r="X949" s="73"/>
    </row>
    <row r="950" ht="14.25" customHeight="1">
      <c r="A950" s="71"/>
      <c r="B950" s="71"/>
      <c r="G950" s="72"/>
      <c r="X950" s="73"/>
    </row>
    <row r="951" ht="14.25" customHeight="1">
      <c r="A951" s="71"/>
      <c r="B951" s="71"/>
      <c r="G951" s="72"/>
      <c r="X951" s="73"/>
    </row>
    <row r="952" ht="14.25" customHeight="1">
      <c r="A952" s="71"/>
      <c r="B952" s="71"/>
      <c r="G952" s="72"/>
      <c r="X952" s="73"/>
    </row>
    <row r="953" ht="14.25" customHeight="1">
      <c r="A953" s="71"/>
      <c r="B953" s="71"/>
      <c r="G953" s="72"/>
      <c r="X953" s="73"/>
    </row>
    <row r="954" ht="14.25" customHeight="1">
      <c r="A954" s="71"/>
      <c r="B954" s="71"/>
      <c r="G954" s="72"/>
      <c r="X954" s="73"/>
    </row>
    <row r="955" ht="14.25" customHeight="1">
      <c r="A955" s="71"/>
      <c r="B955" s="71"/>
      <c r="G955" s="72"/>
      <c r="X955" s="73"/>
    </row>
    <row r="956" ht="14.25" customHeight="1">
      <c r="A956" s="71"/>
      <c r="B956" s="71"/>
      <c r="G956" s="72"/>
      <c r="X956" s="73"/>
    </row>
    <row r="957" ht="14.25" customHeight="1">
      <c r="A957" s="71"/>
      <c r="B957" s="71"/>
      <c r="G957" s="72"/>
      <c r="X957" s="73"/>
    </row>
    <row r="958" ht="14.25" customHeight="1">
      <c r="A958" s="71"/>
      <c r="B958" s="71"/>
      <c r="G958" s="72"/>
      <c r="X958" s="73"/>
    </row>
    <row r="959" ht="14.25" customHeight="1">
      <c r="A959" s="71"/>
      <c r="B959" s="71"/>
      <c r="G959" s="72"/>
      <c r="X959" s="73"/>
    </row>
    <row r="960" ht="14.25" customHeight="1">
      <c r="A960" s="71"/>
      <c r="B960" s="71"/>
      <c r="G960" s="72"/>
      <c r="X960" s="73"/>
    </row>
    <row r="961" ht="14.25" customHeight="1">
      <c r="A961" s="71"/>
      <c r="B961" s="71"/>
      <c r="G961" s="72"/>
      <c r="X961" s="73"/>
    </row>
    <row r="962" ht="14.25" customHeight="1">
      <c r="A962" s="71"/>
      <c r="B962" s="71"/>
      <c r="G962" s="72"/>
      <c r="X962" s="73"/>
    </row>
    <row r="963" ht="14.25" customHeight="1">
      <c r="A963" s="71"/>
      <c r="B963" s="71"/>
      <c r="G963" s="72"/>
      <c r="X963" s="73"/>
    </row>
    <row r="964" ht="14.25" customHeight="1">
      <c r="A964" s="71"/>
      <c r="B964" s="71"/>
      <c r="G964" s="72"/>
      <c r="X964" s="73"/>
    </row>
    <row r="965" ht="14.25" customHeight="1">
      <c r="A965" s="71"/>
      <c r="B965" s="71"/>
      <c r="G965" s="72"/>
      <c r="X965" s="73"/>
    </row>
    <row r="966" ht="14.25" customHeight="1">
      <c r="A966" s="71"/>
      <c r="B966" s="71"/>
      <c r="G966" s="72"/>
      <c r="X966" s="73"/>
    </row>
    <row r="967" ht="14.25" customHeight="1">
      <c r="A967" s="71"/>
      <c r="B967" s="71"/>
      <c r="G967" s="72"/>
      <c r="X967" s="73"/>
    </row>
    <row r="968" ht="14.25" customHeight="1">
      <c r="A968" s="71"/>
      <c r="B968" s="71"/>
      <c r="G968" s="72"/>
      <c r="X968" s="73"/>
    </row>
    <row r="969" ht="14.25" customHeight="1">
      <c r="A969" s="71"/>
      <c r="B969" s="71"/>
      <c r="G969" s="72"/>
      <c r="X969" s="73"/>
    </row>
    <row r="970" ht="14.25" customHeight="1">
      <c r="A970" s="71"/>
      <c r="B970" s="71"/>
      <c r="G970" s="72"/>
      <c r="X970" s="73"/>
    </row>
    <row r="971" ht="14.25" customHeight="1">
      <c r="A971" s="71"/>
      <c r="B971" s="71"/>
      <c r="G971" s="72"/>
      <c r="X971" s="73"/>
    </row>
    <row r="972" ht="14.25" customHeight="1">
      <c r="A972" s="71"/>
      <c r="B972" s="71"/>
      <c r="G972" s="72"/>
      <c r="X972" s="73"/>
    </row>
    <row r="973" ht="14.25" customHeight="1">
      <c r="A973" s="71"/>
      <c r="B973" s="71"/>
      <c r="G973" s="72"/>
      <c r="X973" s="73"/>
    </row>
    <row r="974" ht="14.25" customHeight="1">
      <c r="A974" s="71"/>
      <c r="B974" s="71"/>
      <c r="G974" s="72"/>
      <c r="X974" s="73"/>
    </row>
    <row r="975" ht="14.25" customHeight="1">
      <c r="A975" s="71"/>
      <c r="B975" s="71"/>
      <c r="G975" s="72"/>
      <c r="X975" s="73"/>
    </row>
    <row r="976" ht="14.25" customHeight="1">
      <c r="A976" s="71"/>
      <c r="B976" s="71"/>
      <c r="G976" s="72"/>
      <c r="X976" s="73"/>
    </row>
    <row r="977" ht="14.25" customHeight="1">
      <c r="A977" s="71"/>
      <c r="B977" s="71"/>
      <c r="G977" s="72"/>
      <c r="X977" s="73"/>
    </row>
    <row r="978" ht="14.25" customHeight="1">
      <c r="A978" s="71"/>
      <c r="B978" s="71"/>
      <c r="G978" s="72"/>
      <c r="X978" s="73"/>
    </row>
    <row r="979" ht="14.25" customHeight="1">
      <c r="A979" s="71"/>
      <c r="B979" s="71"/>
      <c r="G979" s="72"/>
      <c r="X979" s="73"/>
    </row>
    <row r="980" ht="14.25" customHeight="1">
      <c r="A980" s="71"/>
      <c r="B980" s="71"/>
      <c r="G980" s="72"/>
      <c r="X980" s="73"/>
    </row>
    <row r="981" ht="14.25" customHeight="1">
      <c r="A981" s="71"/>
      <c r="B981" s="71"/>
      <c r="G981" s="72"/>
      <c r="X981" s="73"/>
    </row>
    <row r="982" ht="14.25" customHeight="1">
      <c r="A982" s="71"/>
      <c r="B982" s="71"/>
      <c r="G982" s="72"/>
      <c r="X982" s="73"/>
    </row>
    <row r="983" ht="14.25" customHeight="1">
      <c r="A983" s="71"/>
      <c r="B983" s="71"/>
      <c r="G983" s="72"/>
      <c r="X983" s="73"/>
    </row>
    <row r="984" ht="14.25" customHeight="1">
      <c r="A984" s="71"/>
      <c r="B984" s="71"/>
      <c r="G984" s="72"/>
      <c r="X984" s="73"/>
    </row>
    <row r="985" ht="14.25" customHeight="1">
      <c r="A985" s="71"/>
      <c r="B985" s="71"/>
      <c r="G985" s="72"/>
      <c r="X985" s="73"/>
    </row>
    <row r="986" ht="14.25" customHeight="1">
      <c r="A986" s="71"/>
      <c r="B986" s="71"/>
      <c r="G986" s="72"/>
      <c r="X986" s="73"/>
    </row>
    <row r="987" ht="14.25" customHeight="1">
      <c r="A987" s="71"/>
      <c r="B987" s="71"/>
      <c r="G987" s="72"/>
      <c r="X987" s="73"/>
    </row>
    <row r="988" ht="14.25" customHeight="1">
      <c r="A988" s="71"/>
      <c r="B988" s="71"/>
      <c r="G988" s="72"/>
      <c r="X988" s="73"/>
    </row>
    <row r="989" ht="14.25" customHeight="1">
      <c r="A989" s="71"/>
      <c r="B989" s="71"/>
      <c r="G989" s="72"/>
      <c r="X989" s="73"/>
    </row>
    <row r="990" ht="14.25" customHeight="1">
      <c r="A990" s="71"/>
      <c r="B990" s="71"/>
      <c r="G990" s="72"/>
      <c r="X990" s="73"/>
    </row>
    <row r="991" ht="14.25" customHeight="1">
      <c r="A991" s="71"/>
      <c r="B991" s="71"/>
      <c r="G991" s="72"/>
      <c r="X991" s="73"/>
    </row>
    <row r="992" ht="14.25" customHeight="1">
      <c r="A992" s="71"/>
      <c r="B992" s="71"/>
      <c r="G992" s="72"/>
      <c r="X992" s="73"/>
    </row>
    <row r="993" ht="14.25" customHeight="1">
      <c r="A993" s="71"/>
      <c r="B993" s="71"/>
      <c r="G993" s="72"/>
      <c r="X993" s="73"/>
    </row>
    <row r="994" ht="14.25" customHeight="1">
      <c r="A994" s="71"/>
      <c r="B994" s="71"/>
      <c r="G994" s="72"/>
      <c r="X994" s="73"/>
    </row>
    <row r="995" ht="14.25" customHeight="1">
      <c r="A995" s="71"/>
      <c r="B995" s="71"/>
      <c r="G995" s="72"/>
      <c r="X995" s="73"/>
    </row>
    <row r="996" ht="14.25" customHeight="1">
      <c r="A996" s="71"/>
      <c r="B996" s="71"/>
      <c r="G996" s="72"/>
      <c r="X996" s="73"/>
    </row>
    <row r="997" ht="14.25" customHeight="1">
      <c r="A997" s="71"/>
      <c r="B997" s="71"/>
      <c r="G997" s="72"/>
      <c r="X997" s="73"/>
    </row>
    <row r="998" ht="14.25" customHeight="1">
      <c r="A998" s="71"/>
      <c r="B998" s="71"/>
      <c r="G998" s="72"/>
      <c r="X998" s="73"/>
    </row>
    <row r="999" ht="14.25" customHeight="1">
      <c r="A999" s="71"/>
      <c r="B999" s="71"/>
      <c r="G999" s="72"/>
      <c r="X999" s="73"/>
    </row>
    <row r="1000" ht="14.25" customHeight="1">
      <c r="A1000" s="71"/>
      <c r="B1000" s="71"/>
      <c r="G1000" s="72"/>
      <c r="X1000" s="73"/>
    </row>
    <row r="1001" ht="14.25" customHeight="1">
      <c r="A1001" s="71"/>
      <c r="B1001" s="71"/>
      <c r="G1001" s="72"/>
      <c r="X1001" s="73"/>
    </row>
  </sheetData>
  <mergeCells count="6">
    <mergeCell ref="A1:A2"/>
    <mergeCell ref="B1:B2"/>
    <mergeCell ref="C1:G1"/>
    <mergeCell ref="H1:P1"/>
    <mergeCell ref="Q1:W1"/>
    <mergeCell ref="X1:X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>
      <c r="A1" s="74" t="s">
        <v>0</v>
      </c>
      <c r="B1" s="74" t="s">
        <v>1</v>
      </c>
      <c r="C1" s="74" t="s">
        <v>2</v>
      </c>
      <c r="H1" s="74" t="s">
        <v>3</v>
      </c>
      <c r="Q1" s="74" t="s">
        <v>4</v>
      </c>
      <c r="X1" s="74" t="s">
        <v>5</v>
      </c>
    </row>
    <row r="2" ht="14.25" customHeight="1">
      <c r="C2" s="74" t="s">
        <v>6</v>
      </c>
      <c r="D2" s="74" t="s">
        <v>7</v>
      </c>
      <c r="E2" s="74" t="s">
        <v>8</v>
      </c>
      <c r="F2" s="74" t="s">
        <v>9</v>
      </c>
      <c r="G2" s="74" t="s">
        <v>10</v>
      </c>
      <c r="H2" s="74" t="s">
        <v>11</v>
      </c>
      <c r="I2" s="74" t="s">
        <v>12</v>
      </c>
      <c r="J2" s="74" t="s">
        <v>13</v>
      </c>
      <c r="K2" s="74" t="s">
        <v>14</v>
      </c>
      <c r="L2" s="74" t="s">
        <v>15</v>
      </c>
      <c r="M2" s="74" t="s">
        <v>16</v>
      </c>
      <c r="N2" s="74" t="s">
        <v>17</v>
      </c>
      <c r="O2" s="74" t="s">
        <v>18</v>
      </c>
      <c r="P2" s="74" t="s">
        <v>19</v>
      </c>
      <c r="Q2" s="74" t="s">
        <v>20</v>
      </c>
      <c r="R2" s="74" t="s">
        <v>21</v>
      </c>
      <c r="S2" s="74" t="s">
        <v>22</v>
      </c>
      <c r="T2" s="74" t="s">
        <v>23</v>
      </c>
      <c r="U2" s="74" t="s">
        <v>24</v>
      </c>
      <c r="V2" s="74" t="s">
        <v>25</v>
      </c>
      <c r="W2" s="74" t="s">
        <v>26</v>
      </c>
      <c r="Y2" s="74" t="s">
        <v>27</v>
      </c>
    </row>
    <row r="3" ht="14.25" customHeight="1">
      <c r="A3" s="74" t="s">
        <v>28</v>
      </c>
      <c r="B3" s="74" t="s">
        <v>29</v>
      </c>
      <c r="C3" s="74">
        <v>0.0</v>
      </c>
      <c r="D3" s="74">
        <v>0.0</v>
      </c>
      <c r="E3" s="74">
        <v>0.0</v>
      </c>
      <c r="F3" s="74">
        <v>0.0</v>
      </c>
      <c r="G3" s="74">
        <v>0.0</v>
      </c>
      <c r="H3" s="74">
        <v>0.1552</v>
      </c>
      <c r="I3" s="74">
        <v>55.0</v>
      </c>
      <c r="J3" s="74">
        <v>13345.0</v>
      </c>
      <c r="K3" s="74">
        <v>14.87</v>
      </c>
      <c r="L3" s="74">
        <v>0.6481012658227848</v>
      </c>
      <c r="M3" s="74">
        <v>0.004398932071888046</v>
      </c>
      <c r="N3" s="74">
        <v>0.016613554501385762</v>
      </c>
      <c r="O3" s="74">
        <v>0.3087164551695444</v>
      </c>
      <c r="P3" s="74">
        <v>0.24445755189140075</v>
      </c>
      <c r="Q3" s="74">
        <v>20.0</v>
      </c>
      <c r="R3" s="74">
        <v>99.82</v>
      </c>
      <c r="S3" s="74">
        <v>0.8913</v>
      </c>
      <c r="T3" s="74">
        <v>0.05063291139240506</v>
      </c>
      <c r="U3" s="74">
        <v>0.99</v>
      </c>
      <c r="V3" s="74">
        <v>0.7405727923627685</v>
      </c>
      <c r="W3" s="74">
        <v>0.5937352345850578</v>
      </c>
      <c r="X3" s="74">
        <v>-0.3492776826936571</v>
      </c>
      <c r="Y3" s="74" t="s">
        <v>113</v>
      </c>
    </row>
    <row r="4" ht="14.25" customHeight="1">
      <c r="A4" s="74" t="s">
        <v>28</v>
      </c>
      <c r="B4" s="74" t="s">
        <v>30</v>
      </c>
      <c r="C4" s="74">
        <v>1.0</v>
      </c>
      <c r="D4" s="74">
        <v>0.0</v>
      </c>
      <c r="E4" s="74">
        <v>0.125</v>
      </c>
      <c r="F4" s="74">
        <v>0.0</v>
      </c>
      <c r="G4" s="74">
        <v>0.0625</v>
      </c>
      <c r="H4" s="74">
        <v>0.1707</v>
      </c>
      <c r="I4" s="74">
        <v>75.0</v>
      </c>
      <c r="J4" s="74">
        <v>18411.0</v>
      </c>
      <c r="K4" s="74">
        <v>18.650000000000006</v>
      </c>
      <c r="L4" s="74">
        <v>0.7265822784810125</v>
      </c>
      <c r="M4" s="74">
        <v>0.006638714185883997</v>
      </c>
      <c r="N4" s="74">
        <v>0.029760112936877834</v>
      </c>
      <c r="O4" s="74">
        <v>0.3873517786561266</v>
      </c>
      <c r="P4" s="74">
        <v>0.28758322106497525</v>
      </c>
      <c r="Q4" s="74">
        <v>25.0</v>
      </c>
      <c r="R4" s="74">
        <v>100.0</v>
      </c>
      <c r="S4" s="74">
        <v>0.7288</v>
      </c>
      <c r="T4" s="74">
        <v>0.07172995780590717</v>
      </c>
      <c r="U4" s="74">
        <v>1.0</v>
      </c>
      <c r="V4" s="74">
        <v>0.3527446300715991</v>
      </c>
      <c r="W4" s="74">
        <v>0.4748248626258354</v>
      </c>
      <c r="X4" s="74">
        <v>-0.12474164156086015</v>
      </c>
      <c r="Y4" s="74" t="s">
        <v>114</v>
      </c>
    </row>
    <row r="5" ht="14.25" customHeight="1">
      <c r="A5" s="74" t="s">
        <v>28</v>
      </c>
      <c r="B5" s="74" t="s">
        <v>32</v>
      </c>
      <c r="C5" s="74">
        <v>2.0</v>
      </c>
      <c r="D5" s="74">
        <v>1.0</v>
      </c>
      <c r="E5" s="74">
        <v>0.25</v>
      </c>
      <c r="F5" s="74">
        <v>1.0</v>
      </c>
      <c r="G5" s="74">
        <v>0.625</v>
      </c>
      <c r="H5" s="74">
        <v>0.0989</v>
      </c>
      <c r="I5" s="74">
        <v>59.0</v>
      </c>
      <c r="J5" s="74">
        <v>36310.0</v>
      </c>
      <c r="K5" s="74">
        <v>9.530000000000001</v>
      </c>
      <c r="L5" s="74">
        <v>0.36303797468354426</v>
      </c>
      <c r="M5" s="74">
        <v>0.004846888494687237</v>
      </c>
      <c r="N5" s="74">
        <v>0.07620903702627235</v>
      </c>
      <c r="O5" s="74">
        <v>0.1976284584980237</v>
      </c>
      <c r="P5" s="74">
        <v>0.1604305896756319</v>
      </c>
      <c r="Q5" s="74">
        <v>46.0</v>
      </c>
      <c r="R5" s="74">
        <v>100.0</v>
      </c>
      <c r="S5" s="74">
        <v>0.8846</v>
      </c>
      <c r="T5" s="74">
        <v>0.16033755274261605</v>
      </c>
      <c r="U5" s="74">
        <v>1.0</v>
      </c>
      <c r="V5" s="74">
        <v>0.7245823389021481</v>
      </c>
      <c r="W5" s="74">
        <v>0.6283066305482548</v>
      </c>
      <c r="X5" s="74">
        <v>0.1571239591273772</v>
      </c>
      <c r="Y5" s="74" t="s">
        <v>115</v>
      </c>
    </row>
    <row r="6" ht="14.25" customHeight="1">
      <c r="A6" s="74" t="s">
        <v>28</v>
      </c>
      <c r="B6" s="74" t="s">
        <v>34</v>
      </c>
      <c r="C6" s="74">
        <v>1.0</v>
      </c>
      <c r="D6" s="74">
        <v>0.0</v>
      </c>
      <c r="E6" s="74">
        <v>0.125</v>
      </c>
      <c r="F6" s="74">
        <v>0.0</v>
      </c>
      <c r="G6" s="74">
        <v>0.0625</v>
      </c>
      <c r="H6" s="74">
        <v>0.0978</v>
      </c>
      <c r="I6" s="74">
        <v>57.0</v>
      </c>
      <c r="J6" s="74">
        <v>31726.0</v>
      </c>
      <c r="K6" s="74">
        <v>3.760000000000005</v>
      </c>
      <c r="L6" s="74">
        <v>0.3574683544303797</v>
      </c>
      <c r="M6" s="74">
        <v>0.004622910283287642</v>
      </c>
      <c r="N6" s="74">
        <v>0.06431329603371498</v>
      </c>
      <c r="O6" s="74">
        <v>0.0775951737050136</v>
      </c>
      <c r="P6" s="74">
        <v>0.125999933613099</v>
      </c>
      <c r="Q6" s="74">
        <v>41.0</v>
      </c>
      <c r="R6" s="74">
        <v>99.88</v>
      </c>
      <c r="S6" s="74">
        <v>0.9143</v>
      </c>
      <c r="T6" s="74">
        <v>0.13924050632911392</v>
      </c>
      <c r="U6" s="74">
        <v>0.9934</v>
      </c>
      <c r="V6" s="74">
        <v>0.7954653937947495</v>
      </c>
      <c r="W6" s="74">
        <v>0.6427019667079544</v>
      </c>
      <c r="X6" s="74">
        <v>-0.4542020330948554</v>
      </c>
      <c r="Y6" s="74" t="s">
        <v>113</v>
      </c>
    </row>
    <row r="7" ht="14.25" customHeight="1">
      <c r="A7" s="74" t="s">
        <v>28</v>
      </c>
      <c r="B7" s="74" t="s">
        <v>36</v>
      </c>
      <c r="C7" s="74">
        <v>6.0</v>
      </c>
      <c r="D7" s="74">
        <v>0.0</v>
      </c>
      <c r="E7" s="74">
        <v>0.75</v>
      </c>
      <c r="F7" s="74">
        <v>0.0</v>
      </c>
      <c r="G7" s="74">
        <v>0.375</v>
      </c>
      <c r="H7" s="74">
        <v>0.1124</v>
      </c>
      <c r="I7" s="74">
        <v>83.0</v>
      </c>
      <c r="J7" s="74">
        <v>67012.0</v>
      </c>
      <c r="K7" s="74">
        <v>13.379999999999995</v>
      </c>
      <c r="L7" s="74">
        <v>0.43139240506329113</v>
      </c>
      <c r="M7" s="74">
        <v>0.007534627031482377</v>
      </c>
      <c r="N7" s="74">
        <v>0.15588247506150285</v>
      </c>
      <c r="O7" s="74">
        <v>0.2777199916788016</v>
      </c>
      <c r="P7" s="74">
        <v>0.2181323747087695</v>
      </c>
      <c r="Q7" s="74">
        <v>53.0</v>
      </c>
      <c r="R7" s="74">
        <v>99.99</v>
      </c>
      <c r="S7" s="74">
        <v>0.8596</v>
      </c>
      <c r="T7" s="74">
        <v>0.189873417721519</v>
      </c>
      <c r="U7" s="74">
        <v>0.9994</v>
      </c>
      <c r="V7" s="74">
        <v>0.6649164677804297</v>
      </c>
      <c r="W7" s="74">
        <v>0.6180632951673162</v>
      </c>
      <c r="X7" s="74">
        <v>-0.024930920458546613</v>
      </c>
      <c r="Y7" s="74" t="s">
        <v>114</v>
      </c>
    </row>
    <row r="8" ht="14.25" customHeight="1">
      <c r="A8" s="74" t="s">
        <v>28</v>
      </c>
      <c r="B8" s="74" t="s">
        <v>38</v>
      </c>
      <c r="C8" s="74">
        <v>1.0</v>
      </c>
      <c r="D8" s="74">
        <v>0.0</v>
      </c>
      <c r="E8" s="74">
        <v>0.125</v>
      </c>
      <c r="F8" s="74">
        <v>0.0</v>
      </c>
      <c r="G8" s="74">
        <v>0.0625</v>
      </c>
      <c r="H8" s="74">
        <v>0.1229</v>
      </c>
      <c r="I8" s="74">
        <v>51.0</v>
      </c>
      <c r="J8" s="74">
        <v>34864.0</v>
      </c>
      <c r="K8" s="74">
        <v>6.0</v>
      </c>
      <c r="L8" s="74">
        <v>0.4845569620253164</v>
      </c>
      <c r="M8" s="74">
        <v>0.003950975649088856</v>
      </c>
      <c r="N8" s="74">
        <v>0.07245658469746827</v>
      </c>
      <c r="O8" s="74">
        <v>0.12419388391928435</v>
      </c>
      <c r="P8" s="74">
        <v>0.17128960157278947</v>
      </c>
      <c r="Q8" s="74">
        <v>25.0</v>
      </c>
      <c r="R8" s="74">
        <v>99.7</v>
      </c>
      <c r="S8" s="74">
        <v>0.9085</v>
      </c>
      <c r="T8" s="74">
        <v>0.07172995780590717</v>
      </c>
      <c r="U8" s="74">
        <v>0.9834</v>
      </c>
      <c r="V8" s="74">
        <v>0.7816229116945107</v>
      </c>
      <c r="W8" s="74">
        <v>0.6122509565001394</v>
      </c>
      <c r="X8" s="74">
        <v>-0.3784613549273499</v>
      </c>
      <c r="Y8" s="74" t="s">
        <v>113</v>
      </c>
    </row>
    <row r="9" ht="14.25" customHeight="1">
      <c r="A9" s="74" t="s">
        <v>28</v>
      </c>
      <c r="B9" s="74" t="s">
        <v>40</v>
      </c>
      <c r="C9" s="74">
        <v>4.0</v>
      </c>
      <c r="D9" s="74">
        <v>1.0</v>
      </c>
      <c r="E9" s="74">
        <v>0.5</v>
      </c>
      <c r="F9" s="74">
        <v>1.0</v>
      </c>
      <c r="G9" s="74">
        <v>0.75</v>
      </c>
      <c r="H9" s="74">
        <v>0.155</v>
      </c>
      <c r="I9" s="74">
        <v>74.0</v>
      </c>
      <c r="J9" s="74">
        <v>30667.0</v>
      </c>
      <c r="K9" s="74">
        <v>2.719999999999999</v>
      </c>
      <c r="L9" s="74">
        <v>0.6470886075949367</v>
      </c>
      <c r="M9" s="74">
        <v>0.006526725080184199</v>
      </c>
      <c r="N9" s="74">
        <v>0.06156513073896841</v>
      </c>
      <c r="O9" s="74">
        <v>0.05596005824838772</v>
      </c>
      <c r="P9" s="74">
        <v>0.19278513041561923</v>
      </c>
      <c r="Q9" s="74">
        <v>37.0</v>
      </c>
      <c r="R9" s="74">
        <v>99.89</v>
      </c>
      <c r="S9" s="74">
        <v>0.8349</v>
      </c>
      <c r="T9" s="74">
        <v>0.12236286919831224</v>
      </c>
      <c r="U9" s="74">
        <v>0.9939</v>
      </c>
      <c r="V9" s="74">
        <v>0.6059665871121718</v>
      </c>
      <c r="W9" s="74">
        <v>0.574076485436828</v>
      </c>
      <c r="X9" s="74">
        <v>0.3687086449787912</v>
      </c>
      <c r="Y9" s="74" t="s">
        <v>115</v>
      </c>
    </row>
    <row r="10" ht="14.25" customHeight="1">
      <c r="A10" s="74" t="s">
        <v>28</v>
      </c>
      <c r="B10" s="74" t="s">
        <v>42</v>
      </c>
      <c r="C10" s="74">
        <v>4.0</v>
      </c>
      <c r="D10" s="74">
        <v>0.0</v>
      </c>
      <c r="E10" s="74">
        <v>0.5</v>
      </c>
      <c r="F10" s="74">
        <v>0.0</v>
      </c>
      <c r="G10" s="74">
        <v>0.25</v>
      </c>
      <c r="H10" s="74">
        <v>0.1105</v>
      </c>
      <c r="I10" s="74">
        <v>151.0</v>
      </c>
      <c r="J10" s="74">
        <v>67605.0</v>
      </c>
      <c r="K10" s="74">
        <v>6.019999999999996</v>
      </c>
      <c r="L10" s="74">
        <v>0.4217721518987341</v>
      </c>
      <c r="M10" s="74">
        <v>0.015149886219068608</v>
      </c>
      <c r="N10" s="74">
        <v>0.1574213438242835</v>
      </c>
      <c r="O10" s="74">
        <v>0.1246099438319117</v>
      </c>
      <c r="P10" s="74">
        <v>0.1797383314434995</v>
      </c>
      <c r="Q10" s="74">
        <v>83.0</v>
      </c>
      <c r="R10" s="74">
        <v>100.0</v>
      </c>
      <c r="S10" s="74">
        <v>0.9502</v>
      </c>
      <c r="T10" s="74">
        <v>0.31645569620253167</v>
      </c>
      <c r="U10" s="74">
        <v>1.0</v>
      </c>
      <c r="V10" s="74">
        <v>0.8811455847255371</v>
      </c>
      <c r="W10" s="74">
        <v>0.7325337603093561</v>
      </c>
      <c r="X10" s="74">
        <v>-0.30279542886585664</v>
      </c>
      <c r="Y10" s="74" t="s">
        <v>113</v>
      </c>
    </row>
    <row r="11" ht="14.25" customHeight="1">
      <c r="A11" s="74" t="s">
        <v>28</v>
      </c>
      <c r="B11" s="74" t="s">
        <v>44</v>
      </c>
      <c r="C11" s="74">
        <v>2.0</v>
      </c>
      <c r="D11" s="74">
        <v>0.0</v>
      </c>
      <c r="E11" s="74">
        <v>0.25</v>
      </c>
      <c r="F11" s="74">
        <v>0.0</v>
      </c>
      <c r="G11" s="74">
        <v>0.125</v>
      </c>
      <c r="H11" s="74">
        <v>0.1646</v>
      </c>
      <c r="I11" s="74">
        <v>146.0</v>
      </c>
      <c r="J11" s="74">
        <v>75459.0</v>
      </c>
      <c r="K11" s="74">
        <v>9.230000000000004</v>
      </c>
      <c r="L11" s="74">
        <v>0.6956962025316455</v>
      </c>
      <c r="M11" s="74">
        <v>0.014589940690569621</v>
      </c>
      <c r="N11" s="74">
        <v>0.17780292099608666</v>
      </c>
      <c r="O11" s="74">
        <v>0.1913875598086125</v>
      </c>
      <c r="P11" s="74">
        <v>0.26986915600672856</v>
      </c>
      <c r="Q11" s="74">
        <v>55.0</v>
      </c>
      <c r="R11" s="74">
        <v>100.0</v>
      </c>
      <c r="S11" s="74">
        <v>0.9726</v>
      </c>
      <c r="T11" s="74">
        <v>0.19831223628691982</v>
      </c>
      <c r="U11" s="74">
        <v>1.0</v>
      </c>
      <c r="V11" s="74">
        <v>0.9346062052505967</v>
      </c>
      <c r="W11" s="74">
        <v>0.7109728138458388</v>
      </c>
      <c r="X11" s="74">
        <v>-0.3161036578391102</v>
      </c>
      <c r="Y11" s="74" t="s">
        <v>113</v>
      </c>
    </row>
    <row r="12" ht="14.25" customHeight="1">
      <c r="A12" s="74" t="s">
        <v>28</v>
      </c>
      <c r="B12" s="74" t="s">
        <v>45</v>
      </c>
      <c r="C12" s="74">
        <v>2.0</v>
      </c>
      <c r="D12" s="74">
        <v>0.0</v>
      </c>
      <c r="E12" s="74">
        <v>0.25</v>
      </c>
      <c r="F12" s="74">
        <v>0.0</v>
      </c>
      <c r="G12" s="74">
        <v>0.125</v>
      </c>
      <c r="H12" s="74">
        <v>0.103</v>
      </c>
      <c r="I12" s="74">
        <v>259.0</v>
      </c>
      <c r="J12" s="74">
        <v>74446.0</v>
      </c>
      <c r="K12" s="74">
        <v>8.61</v>
      </c>
      <c r="L12" s="74">
        <v>0.38379746835443035</v>
      </c>
      <c r="M12" s="74">
        <v>0.02724470963464674</v>
      </c>
      <c r="N12" s="74">
        <v>0.17517412832037535</v>
      </c>
      <c r="O12" s="74">
        <v>0.17848970251716242</v>
      </c>
      <c r="P12" s="74">
        <v>0.19117650220665372</v>
      </c>
      <c r="Q12" s="74">
        <v>60.0</v>
      </c>
      <c r="R12" s="74">
        <v>100.0</v>
      </c>
      <c r="S12" s="74">
        <v>0.8982</v>
      </c>
      <c r="T12" s="74">
        <v>0.21940928270042195</v>
      </c>
      <c r="U12" s="74">
        <v>1.0</v>
      </c>
      <c r="V12" s="74">
        <v>0.7570405727923628</v>
      </c>
      <c r="W12" s="74">
        <v>0.6588166184975949</v>
      </c>
      <c r="X12" s="74">
        <v>-0.34264011629094115</v>
      </c>
      <c r="Y12" s="74" t="s">
        <v>113</v>
      </c>
    </row>
    <row r="13" ht="14.25" customHeight="1">
      <c r="A13" s="74" t="s">
        <v>28</v>
      </c>
      <c r="B13" s="74" t="s">
        <v>46</v>
      </c>
      <c r="C13" s="74">
        <v>1.0</v>
      </c>
      <c r="D13" s="74">
        <v>0.0</v>
      </c>
      <c r="E13" s="74">
        <v>0.125</v>
      </c>
      <c r="F13" s="74">
        <v>0.0</v>
      </c>
      <c r="G13" s="74">
        <v>0.0625</v>
      </c>
      <c r="H13" s="74">
        <v>0.1427</v>
      </c>
      <c r="I13" s="74">
        <v>236.0</v>
      </c>
      <c r="J13" s="74">
        <v>98192.0</v>
      </c>
      <c r="K13" s="74">
        <v>3.6899999999999977</v>
      </c>
      <c r="L13" s="74">
        <v>0.5848101265822784</v>
      </c>
      <c r="M13" s="74">
        <v>0.024668960203551398</v>
      </c>
      <c r="N13" s="74">
        <v>0.23679635031192584</v>
      </c>
      <c r="O13" s="74">
        <v>0.07613896401081749</v>
      </c>
      <c r="P13" s="74">
        <v>0.23060360027714327</v>
      </c>
      <c r="Q13" s="74">
        <v>75.0</v>
      </c>
      <c r="R13" s="74">
        <v>100.0</v>
      </c>
      <c r="S13" s="74">
        <v>0.8357</v>
      </c>
      <c r="T13" s="74">
        <v>0.28270042194092826</v>
      </c>
      <c r="U13" s="74">
        <v>1.0</v>
      </c>
      <c r="V13" s="74">
        <v>0.6078758949880668</v>
      </c>
      <c r="W13" s="74">
        <v>0.6301921056429983</v>
      </c>
      <c r="X13" s="74">
        <v>-0.33708850536585505</v>
      </c>
      <c r="Y13" s="74" t="s">
        <v>113</v>
      </c>
    </row>
    <row r="14" ht="14.25" customHeight="1">
      <c r="A14" s="74" t="s">
        <v>28</v>
      </c>
      <c r="B14" s="74" t="s">
        <v>47</v>
      </c>
      <c r="C14" s="74">
        <v>3.0</v>
      </c>
      <c r="D14" s="74">
        <v>0.0</v>
      </c>
      <c r="E14" s="74">
        <v>0.375</v>
      </c>
      <c r="F14" s="74">
        <v>0.0</v>
      </c>
      <c r="G14" s="74">
        <v>0.1875</v>
      </c>
      <c r="H14" s="74">
        <v>0.133</v>
      </c>
      <c r="I14" s="74">
        <v>86.0</v>
      </c>
      <c r="J14" s="74">
        <v>22536.0</v>
      </c>
      <c r="K14" s="74">
        <v>6.400000000000006</v>
      </c>
      <c r="L14" s="74">
        <v>0.5356962025316456</v>
      </c>
      <c r="M14" s="74">
        <v>0.00787059434858177</v>
      </c>
      <c r="N14" s="74">
        <v>0.04046472279601814</v>
      </c>
      <c r="O14" s="74">
        <v>0.13251508217183283</v>
      </c>
      <c r="P14" s="74">
        <v>0.17913665046201957</v>
      </c>
      <c r="Q14" s="74">
        <v>20.0</v>
      </c>
      <c r="R14" s="74">
        <v>100.0</v>
      </c>
      <c r="S14" s="74">
        <v>0.9737</v>
      </c>
      <c r="T14" s="74">
        <v>0.05063291139240506</v>
      </c>
      <c r="U14" s="74">
        <v>1.0</v>
      </c>
      <c r="V14" s="74">
        <v>0.9372315035799523</v>
      </c>
      <c r="W14" s="74">
        <v>0.6626214716574524</v>
      </c>
      <c r="X14" s="74">
        <v>-0.2959848211954329</v>
      </c>
      <c r="Y14" s="74" t="s">
        <v>113</v>
      </c>
    </row>
    <row r="15" ht="14.25" customHeight="1">
      <c r="A15" s="74" t="s">
        <v>28</v>
      </c>
      <c r="B15" s="74" t="s">
        <v>48</v>
      </c>
      <c r="C15" s="74">
        <v>3.0</v>
      </c>
      <c r="D15" s="74">
        <v>0.0</v>
      </c>
      <c r="E15" s="74">
        <v>0.375</v>
      </c>
      <c r="F15" s="74">
        <v>0.0</v>
      </c>
      <c r="G15" s="74">
        <v>0.1875</v>
      </c>
      <c r="H15" s="74">
        <v>0.1677</v>
      </c>
      <c r="I15" s="74">
        <v>20.0</v>
      </c>
      <c r="J15" s="74">
        <v>15096.0</v>
      </c>
      <c r="K15" s="74">
        <v>14.769999999999996</v>
      </c>
      <c r="L15" s="74">
        <v>0.711392405063291</v>
      </c>
      <c r="M15" s="74">
        <v>4.793133723951333E-4</v>
      </c>
      <c r="N15" s="74">
        <v>0.02115749919553235</v>
      </c>
      <c r="O15" s="74">
        <v>0.3066361556064072</v>
      </c>
      <c r="P15" s="74">
        <v>0.25991634330940644</v>
      </c>
      <c r="Q15" s="74">
        <v>27.0</v>
      </c>
      <c r="R15" s="74">
        <v>100.0</v>
      </c>
      <c r="S15" s="74">
        <v>0.8649</v>
      </c>
      <c r="T15" s="74">
        <v>0.08016877637130802</v>
      </c>
      <c r="U15" s="74">
        <v>1.0</v>
      </c>
      <c r="V15" s="74">
        <v>0.677565632458234</v>
      </c>
      <c r="W15" s="74">
        <v>0.5859114696098473</v>
      </c>
      <c r="X15" s="74">
        <v>-0.13849512630044086</v>
      </c>
      <c r="Y15" s="74" t="s">
        <v>114</v>
      </c>
    </row>
    <row r="16" ht="14.25" customHeight="1">
      <c r="A16" s="74" t="s">
        <v>28</v>
      </c>
      <c r="B16" s="74" t="s">
        <v>49</v>
      </c>
      <c r="C16" s="74">
        <v>3.0</v>
      </c>
      <c r="D16" s="74">
        <v>0.0</v>
      </c>
      <c r="E16" s="74">
        <v>0.375</v>
      </c>
      <c r="F16" s="74">
        <v>0.0</v>
      </c>
      <c r="G16" s="74">
        <v>0.1875</v>
      </c>
      <c r="H16" s="74">
        <v>0.1084</v>
      </c>
      <c r="I16" s="74">
        <v>143.0</v>
      </c>
      <c r="J16" s="74">
        <v>43497.0</v>
      </c>
      <c r="K16" s="74">
        <v>12.590000000000003</v>
      </c>
      <c r="L16" s="74">
        <v>0.41113924050632905</v>
      </c>
      <c r="M16" s="74">
        <v>0.014253973373470228</v>
      </c>
      <c r="N16" s="74">
        <v>0.09485971122206421</v>
      </c>
      <c r="O16" s="74">
        <v>0.2612856251300188</v>
      </c>
      <c r="P16" s="74">
        <v>0.1953846375579706</v>
      </c>
      <c r="Q16" s="74">
        <v>40.0</v>
      </c>
      <c r="R16" s="74">
        <v>100.0</v>
      </c>
      <c r="S16" s="74">
        <v>0.9074</v>
      </c>
      <c r="T16" s="74">
        <v>0.1350210970464135</v>
      </c>
      <c r="U16" s="74">
        <v>1.0</v>
      </c>
      <c r="V16" s="74">
        <v>0.7789976133651552</v>
      </c>
      <c r="W16" s="74">
        <v>0.6380062368038563</v>
      </c>
      <c r="X16" s="74">
        <v>-0.2551215992458857</v>
      </c>
      <c r="Y16" s="74" t="s">
        <v>113</v>
      </c>
    </row>
    <row r="17" ht="14.25" customHeight="1">
      <c r="A17" s="74" t="s">
        <v>28</v>
      </c>
      <c r="B17" s="74" t="s">
        <v>50</v>
      </c>
      <c r="C17" s="74">
        <v>2.0</v>
      </c>
      <c r="D17" s="74">
        <v>0.0</v>
      </c>
      <c r="E17" s="74">
        <v>0.25</v>
      </c>
      <c r="F17" s="74">
        <v>0.0</v>
      </c>
      <c r="G17" s="74">
        <v>0.125</v>
      </c>
      <c r="H17" s="74">
        <v>0.1542</v>
      </c>
      <c r="I17" s="74">
        <v>52.0</v>
      </c>
      <c r="J17" s="74">
        <v>26583.0</v>
      </c>
      <c r="K17" s="74">
        <v>7.650000000000006</v>
      </c>
      <c r="L17" s="74">
        <v>0.6430379746835443</v>
      </c>
      <c r="M17" s="74">
        <v>0.004062964754788654</v>
      </c>
      <c r="N17" s="74">
        <v>0.05096691821418562</v>
      </c>
      <c r="O17" s="74">
        <v>0.15851882671104647</v>
      </c>
      <c r="P17" s="74">
        <v>0.21414667109089125</v>
      </c>
      <c r="Q17" s="74">
        <v>29.0</v>
      </c>
      <c r="R17" s="74">
        <v>100.0</v>
      </c>
      <c r="S17" s="74">
        <v>0.8604</v>
      </c>
      <c r="T17" s="74">
        <v>0.08860759493670886</v>
      </c>
      <c r="U17" s="74">
        <v>1.0</v>
      </c>
      <c r="V17" s="74">
        <v>0.6668257756563247</v>
      </c>
      <c r="W17" s="74">
        <v>0.5851444568643446</v>
      </c>
      <c r="X17" s="74">
        <v>-0.24599778577345333</v>
      </c>
      <c r="Y17" s="74" t="s">
        <v>113</v>
      </c>
    </row>
    <row r="18" ht="14.25" customHeight="1">
      <c r="A18" s="74" t="s">
        <v>28</v>
      </c>
      <c r="B18" s="74" t="s">
        <v>51</v>
      </c>
      <c r="C18" s="74">
        <v>7.0</v>
      </c>
      <c r="D18" s="74">
        <v>0.0</v>
      </c>
      <c r="E18" s="74">
        <v>0.875</v>
      </c>
      <c r="F18" s="74">
        <v>0.0</v>
      </c>
      <c r="G18" s="74">
        <v>0.4375</v>
      </c>
      <c r="H18" s="74">
        <v>0.1037</v>
      </c>
      <c r="I18" s="74">
        <v>26.0</v>
      </c>
      <c r="J18" s="74">
        <v>14816.0</v>
      </c>
      <c r="K18" s="74">
        <v>7.599999999999994</v>
      </c>
      <c r="L18" s="74">
        <v>0.3873417721518987</v>
      </c>
      <c r="M18" s="74">
        <v>0.0011512480065939185</v>
      </c>
      <c r="N18" s="74">
        <v>0.020430883253578582</v>
      </c>
      <c r="O18" s="74">
        <v>0.1574786769294777</v>
      </c>
      <c r="P18" s="74">
        <v>0.14160064508538722</v>
      </c>
      <c r="Q18" s="74">
        <v>17.0</v>
      </c>
      <c r="R18" s="74">
        <v>100.0</v>
      </c>
      <c r="S18" s="74">
        <v>0.8372</v>
      </c>
      <c r="T18" s="74">
        <v>0.0379746835443038</v>
      </c>
      <c r="U18" s="74">
        <v>1.0</v>
      </c>
      <c r="V18" s="74">
        <v>0.61145584725537</v>
      </c>
      <c r="W18" s="74">
        <v>0.5498101769332245</v>
      </c>
      <c r="X18" s="74">
        <v>0.02929046815216274</v>
      </c>
      <c r="Y18" s="74" t="s">
        <v>114</v>
      </c>
    </row>
    <row r="19" ht="14.25" customHeight="1">
      <c r="A19" s="74" t="s">
        <v>28</v>
      </c>
      <c r="B19" s="74" t="s">
        <v>52</v>
      </c>
      <c r="C19" s="74">
        <v>1.0</v>
      </c>
      <c r="D19" s="74">
        <v>1.0</v>
      </c>
      <c r="E19" s="74">
        <v>0.125</v>
      </c>
      <c r="F19" s="74">
        <v>1.0</v>
      </c>
      <c r="G19" s="74">
        <v>0.5625</v>
      </c>
      <c r="H19" s="74">
        <v>0.162</v>
      </c>
      <c r="I19" s="74">
        <v>91.0</v>
      </c>
      <c r="J19" s="74">
        <v>25083.0</v>
      </c>
      <c r="K19" s="74">
        <v>11.629999999999995</v>
      </c>
      <c r="L19" s="74">
        <v>0.6825316455696202</v>
      </c>
      <c r="M19" s="74">
        <v>0.008430539877080758</v>
      </c>
      <c r="N19" s="74">
        <v>0.04707433281086187</v>
      </c>
      <c r="O19" s="74">
        <v>0.2413147493239025</v>
      </c>
      <c r="P19" s="74">
        <v>0.24483781689536632</v>
      </c>
      <c r="Q19" s="74">
        <v>25.0</v>
      </c>
      <c r="R19" s="74">
        <v>100.0</v>
      </c>
      <c r="S19" s="74">
        <v>0.9138</v>
      </c>
      <c r="T19" s="74">
        <v>0.07172995780590717</v>
      </c>
      <c r="U19" s="74">
        <v>1.0</v>
      </c>
      <c r="V19" s="74">
        <v>0.7942720763723149</v>
      </c>
      <c r="W19" s="74">
        <v>0.6220006780594073</v>
      </c>
      <c r="X19" s="74">
        <v>0.18533713883595904</v>
      </c>
      <c r="Y19" s="74" t="s">
        <v>115</v>
      </c>
    </row>
    <row r="20" ht="14.25" customHeight="1">
      <c r="A20" s="74" t="s">
        <v>28</v>
      </c>
      <c r="B20" s="74" t="s">
        <v>53</v>
      </c>
      <c r="C20" s="74">
        <v>2.0</v>
      </c>
      <c r="D20" s="74">
        <v>0.0</v>
      </c>
      <c r="E20" s="74">
        <v>0.25</v>
      </c>
      <c r="F20" s="74">
        <v>0.0</v>
      </c>
      <c r="G20" s="74">
        <v>0.125</v>
      </c>
      <c r="H20" s="74">
        <v>0.1612</v>
      </c>
      <c r="I20" s="74">
        <v>177.0</v>
      </c>
      <c r="J20" s="74">
        <v>29300.0</v>
      </c>
      <c r="K20" s="74">
        <v>9.939999999999998</v>
      </c>
      <c r="L20" s="74">
        <v>0.6784810126582279</v>
      </c>
      <c r="M20" s="74">
        <v>0.018061602967263345</v>
      </c>
      <c r="N20" s="74">
        <v>0.058017687908072706</v>
      </c>
      <c r="O20" s="74">
        <v>0.20615768670688572</v>
      </c>
      <c r="P20" s="74">
        <v>0.24017949756011242</v>
      </c>
      <c r="Q20" s="74">
        <v>26.0</v>
      </c>
      <c r="R20" s="74">
        <v>99.99</v>
      </c>
      <c r="S20" s="74">
        <v>0.9009</v>
      </c>
      <c r="T20" s="74">
        <v>0.0759493670886076</v>
      </c>
      <c r="U20" s="74">
        <v>0.9994</v>
      </c>
      <c r="V20" s="74">
        <v>0.7634844868735084</v>
      </c>
      <c r="W20" s="74">
        <v>0.612944617987372</v>
      </c>
      <c r="X20" s="74">
        <v>-0.24776512042725957</v>
      </c>
      <c r="Y20" s="74" t="s">
        <v>113</v>
      </c>
    </row>
    <row r="21" ht="14.25" customHeight="1">
      <c r="A21" s="74" t="s">
        <v>28</v>
      </c>
      <c r="B21" s="74" t="s">
        <v>54</v>
      </c>
      <c r="C21" s="74">
        <v>0.0</v>
      </c>
      <c r="D21" s="74">
        <v>0.0</v>
      </c>
      <c r="E21" s="74">
        <v>0.0</v>
      </c>
      <c r="F21" s="74">
        <v>0.0</v>
      </c>
      <c r="G21" s="74">
        <v>0.0</v>
      </c>
      <c r="H21" s="74">
        <v>0.0545</v>
      </c>
      <c r="I21" s="74">
        <v>4798.0</v>
      </c>
      <c r="J21" s="74">
        <v>38830.0</v>
      </c>
      <c r="K21" s="74">
        <v>0.20999999999999375</v>
      </c>
      <c r="L21" s="74">
        <v>0.13822784810126582</v>
      </c>
      <c r="M21" s="74">
        <v>0.5355632604060276</v>
      </c>
      <c r="N21" s="74">
        <v>0.08274858050385625</v>
      </c>
      <c r="O21" s="74">
        <v>0.0037445392136466115</v>
      </c>
      <c r="P21" s="74">
        <v>0.19007105705619906</v>
      </c>
      <c r="Q21" s="74">
        <v>114.0</v>
      </c>
      <c r="R21" s="74">
        <v>100.0</v>
      </c>
      <c r="S21" s="74">
        <v>1.0</v>
      </c>
      <c r="T21" s="74">
        <v>0.4472573839662447</v>
      </c>
      <c r="U21" s="74">
        <v>1.0</v>
      </c>
      <c r="V21" s="74">
        <v>1.0</v>
      </c>
      <c r="W21" s="74">
        <v>0.8157524613220816</v>
      </c>
      <c r="X21" s="74">
        <v>-0.6256814042658825</v>
      </c>
      <c r="Y21" s="74" t="s">
        <v>116</v>
      </c>
    </row>
    <row r="22" ht="14.25" customHeight="1">
      <c r="A22" s="74" t="s">
        <v>28</v>
      </c>
      <c r="B22" s="74" t="s">
        <v>55</v>
      </c>
      <c r="C22" s="74">
        <v>0.0</v>
      </c>
      <c r="D22" s="74">
        <v>0.0</v>
      </c>
      <c r="E22" s="74">
        <v>0.0</v>
      </c>
      <c r="F22" s="74">
        <v>0.0</v>
      </c>
      <c r="G22" s="74">
        <v>0.0</v>
      </c>
      <c r="H22" s="74">
        <v>0.1275</v>
      </c>
      <c r="I22" s="74">
        <v>361.0</v>
      </c>
      <c r="J22" s="74">
        <v>6943.0</v>
      </c>
      <c r="K22" s="74">
        <v>5.109999999999999</v>
      </c>
      <c r="L22" s="74">
        <v>0.5078481012658228</v>
      </c>
      <c r="M22" s="74">
        <v>0.038667598416026086</v>
      </c>
      <c r="N22" s="74">
        <v>0.0</v>
      </c>
      <c r="O22" s="74">
        <v>0.10567921780736422</v>
      </c>
      <c r="P22" s="74">
        <v>0.16304872937230327</v>
      </c>
      <c r="Q22" s="74">
        <v>15.0</v>
      </c>
      <c r="R22" s="74">
        <v>100.0</v>
      </c>
      <c r="S22" s="74">
        <v>0.9444</v>
      </c>
      <c r="T22" s="74">
        <v>0.029535864978902954</v>
      </c>
      <c r="U22" s="74">
        <v>1.0</v>
      </c>
      <c r="V22" s="74">
        <v>0.8673031026252984</v>
      </c>
      <c r="W22" s="74">
        <v>0.6322796558680671</v>
      </c>
      <c r="X22" s="74">
        <v>-0.4692309264957638</v>
      </c>
      <c r="Y22" s="74" t="s">
        <v>113</v>
      </c>
    </row>
    <row r="23" ht="14.25" customHeight="1">
      <c r="A23" s="74" t="s">
        <v>28</v>
      </c>
      <c r="B23" s="74" t="s">
        <v>56</v>
      </c>
      <c r="C23" s="74">
        <v>1.0</v>
      </c>
      <c r="D23" s="74">
        <v>0.0</v>
      </c>
      <c r="E23" s="74">
        <v>0.125</v>
      </c>
      <c r="F23" s="74">
        <v>0.0</v>
      </c>
      <c r="G23" s="74">
        <v>0.0625</v>
      </c>
      <c r="H23" s="74">
        <v>0.0859</v>
      </c>
      <c r="I23" s="74">
        <v>926.0</v>
      </c>
      <c r="J23" s="74">
        <v>26876.0</v>
      </c>
      <c r="K23" s="74">
        <v>2.8499999999999943</v>
      </c>
      <c r="L23" s="74">
        <v>0.2972151898734177</v>
      </c>
      <c r="M23" s="74">
        <v>0.10194144313641168</v>
      </c>
      <c r="N23" s="74">
        <v>0.051727269896301525</v>
      </c>
      <c r="O23" s="74">
        <v>0.058664447680465845</v>
      </c>
      <c r="P23" s="74">
        <v>0.1273870876466492</v>
      </c>
      <c r="Q23" s="74">
        <v>44.0</v>
      </c>
      <c r="R23" s="74">
        <v>100.0</v>
      </c>
      <c r="S23" s="74">
        <v>0.9848</v>
      </c>
      <c r="T23" s="74">
        <v>0.1518987341772152</v>
      </c>
      <c r="U23" s="74">
        <v>1.0</v>
      </c>
      <c r="V23" s="74">
        <v>0.9637231503579953</v>
      </c>
      <c r="W23" s="74">
        <v>0.7052072948450702</v>
      </c>
      <c r="X23" s="74">
        <v>-0.515320207198421</v>
      </c>
      <c r="Y23" s="74" t="s">
        <v>116</v>
      </c>
    </row>
    <row r="24" ht="14.25" customHeight="1">
      <c r="A24" s="74" t="s">
        <v>28</v>
      </c>
      <c r="B24" s="74" t="s">
        <v>57</v>
      </c>
      <c r="C24" s="74">
        <v>1.0</v>
      </c>
      <c r="D24" s="74">
        <v>0.0</v>
      </c>
      <c r="E24" s="74">
        <v>0.125</v>
      </c>
      <c r="F24" s="74">
        <v>0.0</v>
      </c>
      <c r="G24" s="74">
        <v>0.0625</v>
      </c>
      <c r="H24" s="74">
        <v>0.0901</v>
      </c>
      <c r="I24" s="74">
        <v>1490.0</v>
      </c>
      <c r="J24" s="74">
        <v>26950.0</v>
      </c>
      <c r="K24" s="74">
        <v>3.0799999999999983</v>
      </c>
      <c r="L24" s="74">
        <v>0.3184810126582278</v>
      </c>
      <c r="M24" s="74">
        <v>0.16510329875109747</v>
      </c>
      <c r="N24" s="74">
        <v>0.05191930410953216</v>
      </c>
      <c r="O24" s="74">
        <v>0.06344913667568124</v>
      </c>
      <c r="P24" s="74">
        <v>0.14973818804863467</v>
      </c>
      <c r="Q24" s="74">
        <v>47.0</v>
      </c>
      <c r="R24" s="74">
        <v>100.0</v>
      </c>
      <c r="S24" s="74">
        <v>1.0</v>
      </c>
      <c r="T24" s="74">
        <v>0.16455696202531644</v>
      </c>
      <c r="U24" s="74">
        <v>1.0</v>
      </c>
      <c r="V24" s="74">
        <v>1.0</v>
      </c>
      <c r="W24" s="74">
        <v>0.7215189873417721</v>
      </c>
      <c r="X24" s="74">
        <v>-0.5092807992931374</v>
      </c>
      <c r="Y24" s="74" t="s">
        <v>116</v>
      </c>
    </row>
    <row r="25" ht="14.25" customHeight="1">
      <c r="A25" s="74" t="s">
        <v>28</v>
      </c>
      <c r="B25" s="74" t="s">
        <v>58</v>
      </c>
      <c r="C25" s="74">
        <v>1.0</v>
      </c>
      <c r="D25" s="74">
        <v>0.0</v>
      </c>
      <c r="E25" s="74">
        <v>0.125</v>
      </c>
      <c r="F25" s="74">
        <v>0.0</v>
      </c>
      <c r="G25" s="74">
        <v>0.0625</v>
      </c>
      <c r="H25" s="74">
        <v>0.1388</v>
      </c>
      <c r="I25" s="74">
        <v>86.0</v>
      </c>
      <c r="J25" s="74">
        <v>13400.0</v>
      </c>
      <c r="K25" s="74">
        <v>32.91</v>
      </c>
      <c r="L25" s="74">
        <v>0.5650632911392405</v>
      </c>
      <c r="M25" s="74">
        <v>0.00787059434858177</v>
      </c>
      <c r="N25" s="74">
        <v>0.016756282632840964</v>
      </c>
      <c r="O25" s="74">
        <v>0.6840024963594756</v>
      </c>
      <c r="P25" s="74">
        <v>0.31842316612003474</v>
      </c>
      <c r="Q25" s="74">
        <v>14.0</v>
      </c>
      <c r="R25" s="74">
        <v>100.0</v>
      </c>
      <c r="S25" s="74">
        <v>0.8537</v>
      </c>
      <c r="T25" s="74">
        <v>0.02531645569620253</v>
      </c>
      <c r="U25" s="74">
        <v>1.0</v>
      </c>
      <c r="V25" s="74">
        <v>0.6508353221957042</v>
      </c>
      <c r="W25" s="74">
        <v>0.5587172592973022</v>
      </c>
      <c r="X25" s="74">
        <v>-0.17779409317726746</v>
      </c>
      <c r="Y25" s="74" t="s">
        <v>114</v>
      </c>
    </row>
    <row r="26" ht="14.25" customHeight="1">
      <c r="A26" s="74" t="s">
        <v>59</v>
      </c>
      <c r="B26" s="74" t="s">
        <v>60</v>
      </c>
      <c r="C26" s="74">
        <v>2.0</v>
      </c>
      <c r="D26" s="74">
        <v>0.0</v>
      </c>
      <c r="E26" s="74">
        <v>0.25</v>
      </c>
      <c r="F26" s="74">
        <v>0.0</v>
      </c>
      <c r="G26" s="74">
        <v>0.125</v>
      </c>
      <c r="H26" s="74">
        <v>0.1451</v>
      </c>
      <c r="I26" s="74">
        <v>174.55</v>
      </c>
      <c r="J26" s="74">
        <v>19986.0</v>
      </c>
      <c r="K26" s="74">
        <v>48.1</v>
      </c>
      <c r="L26" s="74">
        <v>0.5969620253164557</v>
      </c>
      <c r="M26" s="74">
        <v>0.01778722965829884</v>
      </c>
      <c r="N26" s="74">
        <v>0.033847327610367774</v>
      </c>
      <c r="O26" s="74">
        <v>1.0</v>
      </c>
      <c r="P26" s="74">
        <v>0.4121491456462806</v>
      </c>
      <c r="Q26" s="74">
        <v>14.0</v>
      </c>
      <c r="R26" s="74">
        <v>93.68</v>
      </c>
      <c r="S26" s="74">
        <v>0.7765</v>
      </c>
      <c r="T26" s="74">
        <v>0.02531645569620253</v>
      </c>
      <c r="U26" s="74">
        <v>0.6506</v>
      </c>
      <c r="V26" s="74">
        <v>0.4665871121718377</v>
      </c>
      <c r="W26" s="74">
        <v>0.3808345226226801</v>
      </c>
      <c r="X26" s="74">
        <v>0.1563146230236005</v>
      </c>
      <c r="Y26" s="74" t="s">
        <v>115</v>
      </c>
    </row>
    <row r="27" ht="14.25" customHeight="1">
      <c r="A27" s="74" t="s">
        <v>59</v>
      </c>
      <c r="B27" s="74" t="s">
        <v>61</v>
      </c>
      <c r="C27" s="74">
        <v>3.0</v>
      </c>
      <c r="D27" s="74">
        <v>1.0</v>
      </c>
      <c r="E27" s="74">
        <v>0.375</v>
      </c>
      <c r="F27" s="74">
        <v>1.0</v>
      </c>
      <c r="G27" s="74">
        <v>0.6875</v>
      </c>
      <c r="H27" s="74">
        <v>0.0791</v>
      </c>
      <c r="I27" s="74">
        <v>78.44</v>
      </c>
      <c r="J27" s="74">
        <v>77801.0</v>
      </c>
      <c r="K27" s="74">
        <v>18.569999999999993</v>
      </c>
      <c r="L27" s="74">
        <v>0.2627848101265823</v>
      </c>
      <c r="M27" s="74">
        <v>0.0070239567094913</v>
      </c>
      <c r="N27" s="74">
        <v>0.1838805443391428</v>
      </c>
      <c r="O27" s="74">
        <v>0.38568753900561664</v>
      </c>
      <c r="P27" s="74">
        <v>0.20984421254520824</v>
      </c>
      <c r="Q27" s="74">
        <v>30.0</v>
      </c>
      <c r="R27" s="74">
        <v>98.6</v>
      </c>
      <c r="S27" s="74">
        <v>0.8796</v>
      </c>
      <c r="T27" s="74">
        <v>0.09282700421940929</v>
      </c>
      <c r="U27" s="74">
        <v>0.9226</v>
      </c>
      <c r="V27" s="74">
        <v>0.7126491646778045</v>
      </c>
      <c r="W27" s="74">
        <v>0.5760253896324046</v>
      </c>
      <c r="X27" s="74">
        <v>0.32131882291280367</v>
      </c>
      <c r="Y27" s="74" t="s">
        <v>115</v>
      </c>
    </row>
    <row r="28" ht="14.25" customHeight="1">
      <c r="A28" s="74" t="s">
        <v>59</v>
      </c>
      <c r="B28" s="74" t="s">
        <v>62</v>
      </c>
      <c r="C28" s="74">
        <v>2.0</v>
      </c>
      <c r="D28" s="74">
        <v>1.0</v>
      </c>
      <c r="E28" s="74">
        <v>0.25</v>
      </c>
      <c r="F28" s="74">
        <v>1.0</v>
      </c>
      <c r="G28" s="74">
        <v>0.625</v>
      </c>
      <c r="H28" s="74">
        <v>0.0616</v>
      </c>
      <c r="I28" s="74">
        <v>76.25</v>
      </c>
      <c r="J28" s="74">
        <v>47566.0</v>
      </c>
      <c r="K28" s="74">
        <v>24.989999999999995</v>
      </c>
      <c r="L28" s="74">
        <v>0.17417721518987342</v>
      </c>
      <c r="M28" s="74">
        <v>0.006778700568008744</v>
      </c>
      <c r="N28" s="74">
        <v>0.10541899789281377</v>
      </c>
      <c r="O28" s="74">
        <v>0.5192427709590179</v>
      </c>
      <c r="P28" s="74">
        <v>0.20140442115242846</v>
      </c>
      <c r="Q28" s="74">
        <v>20.0</v>
      </c>
      <c r="R28" s="74">
        <v>99.42</v>
      </c>
      <c r="S28" s="74">
        <v>0.7944</v>
      </c>
      <c r="T28" s="74">
        <v>0.05063291139240506</v>
      </c>
      <c r="U28" s="74">
        <v>0.9679</v>
      </c>
      <c r="V28" s="74">
        <v>0.509307875894988</v>
      </c>
      <c r="W28" s="74">
        <v>0.509280262429131</v>
      </c>
      <c r="X28" s="74">
        <v>0.31712415872329736</v>
      </c>
      <c r="Y28" s="74" t="s">
        <v>115</v>
      </c>
    </row>
    <row r="29" ht="14.25" customHeight="1">
      <c r="A29" s="74" t="s">
        <v>59</v>
      </c>
      <c r="B29" s="74" t="s">
        <v>63</v>
      </c>
      <c r="C29" s="74">
        <v>4.0</v>
      </c>
      <c r="D29" s="74">
        <v>0.0</v>
      </c>
      <c r="E29" s="74">
        <v>0.5</v>
      </c>
      <c r="F29" s="74">
        <v>0.0</v>
      </c>
      <c r="G29" s="74">
        <v>0.25</v>
      </c>
      <c r="H29" s="74">
        <v>0.1103</v>
      </c>
      <c r="I29" s="74">
        <v>174.59</v>
      </c>
      <c r="J29" s="74">
        <v>52497.0</v>
      </c>
      <c r="K29" s="74">
        <v>13.799999999999997</v>
      </c>
      <c r="L29" s="74">
        <v>0.420759493670886</v>
      </c>
      <c r="M29" s="74">
        <v>0.017791709222526833</v>
      </c>
      <c r="N29" s="74">
        <v>0.1182152236420067</v>
      </c>
      <c r="O29" s="74">
        <v>0.28645724984397747</v>
      </c>
      <c r="P29" s="74">
        <v>0.21080591909484925</v>
      </c>
      <c r="Q29" s="74">
        <v>26.0</v>
      </c>
      <c r="R29" s="74">
        <v>99.85</v>
      </c>
      <c r="S29" s="74">
        <v>0.8558</v>
      </c>
      <c r="T29" s="74">
        <v>0.0759493670886076</v>
      </c>
      <c r="U29" s="74">
        <v>0.9917</v>
      </c>
      <c r="V29" s="74">
        <v>0.6558472553699285</v>
      </c>
      <c r="W29" s="74">
        <v>0.5744988741528454</v>
      </c>
      <c r="X29" s="74">
        <v>-0.11369295505799615</v>
      </c>
      <c r="Y29" s="74" t="s">
        <v>114</v>
      </c>
    </row>
    <row r="30" ht="14.25" customHeight="1">
      <c r="A30" s="74" t="s">
        <v>59</v>
      </c>
      <c r="B30" s="74" t="s">
        <v>64</v>
      </c>
      <c r="C30" s="74">
        <v>1.0</v>
      </c>
      <c r="D30" s="74">
        <v>0.0</v>
      </c>
      <c r="E30" s="74">
        <v>0.125</v>
      </c>
      <c r="F30" s="74">
        <v>0.0</v>
      </c>
      <c r="G30" s="74">
        <v>0.0625</v>
      </c>
      <c r="H30" s="74">
        <v>0.0747</v>
      </c>
      <c r="I30" s="74">
        <v>84.93</v>
      </c>
      <c r="J30" s="74">
        <v>58326.0</v>
      </c>
      <c r="K30" s="74">
        <v>9.769999999999996</v>
      </c>
      <c r="L30" s="74">
        <v>0.24050632911392406</v>
      </c>
      <c r="M30" s="74">
        <v>0.007750766005482987</v>
      </c>
      <c r="N30" s="74">
        <v>0.13334181051932278</v>
      </c>
      <c r="O30" s="74">
        <v>0.20262117744955263</v>
      </c>
      <c r="P30" s="74">
        <v>0.1460550207720706</v>
      </c>
      <c r="Q30" s="74">
        <v>23.0</v>
      </c>
      <c r="R30" s="74">
        <v>99.95</v>
      </c>
      <c r="S30" s="74">
        <v>0.9365</v>
      </c>
      <c r="T30" s="74">
        <v>0.06329113924050633</v>
      </c>
      <c r="U30" s="74">
        <v>0.9972</v>
      </c>
      <c r="V30" s="74">
        <v>0.8484486873508353</v>
      </c>
      <c r="W30" s="74">
        <v>0.6363132755304473</v>
      </c>
      <c r="X30" s="74">
        <v>-0.42775825475837664</v>
      </c>
      <c r="Y30" s="74" t="s">
        <v>113</v>
      </c>
    </row>
    <row r="31" ht="14.25" customHeight="1">
      <c r="A31" s="74" t="s">
        <v>59</v>
      </c>
      <c r="B31" s="74" t="s">
        <v>65</v>
      </c>
      <c r="C31" s="74">
        <v>0.0</v>
      </c>
      <c r="D31" s="74">
        <v>1.0</v>
      </c>
      <c r="E31" s="74">
        <v>0.0</v>
      </c>
      <c r="F31" s="74">
        <v>1.0</v>
      </c>
      <c r="G31" s="74">
        <v>0.5</v>
      </c>
      <c r="H31" s="74">
        <v>0.0721</v>
      </c>
      <c r="I31" s="74">
        <v>95.82</v>
      </c>
      <c r="J31" s="74">
        <v>39789.0</v>
      </c>
      <c r="K31" s="74">
        <v>3.6400000000000006</v>
      </c>
      <c r="L31" s="74">
        <v>0.2273417721518987</v>
      </c>
      <c r="M31" s="74">
        <v>0.00897032736655378</v>
      </c>
      <c r="N31" s="74">
        <v>0.0852372401050479</v>
      </c>
      <c r="O31" s="74">
        <v>0.075098814229249</v>
      </c>
      <c r="P31" s="74">
        <v>0.09916203846318736</v>
      </c>
      <c r="Q31" s="74">
        <v>21.0</v>
      </c>
      <c r="R31" s="74">
        <v>99.77</v>
      </c>
      <c r="S31" s="74">
        <v>0.8443</v>
      </c>
      <c r="T31" s="74">
        <v>0.05485232067510549</v>
      </c>
      <c r="U31" s="74">
        <v>0.9873</v>
      </c>
      <c r="V31" s="74">
        <v>0.6284009546539381</v>
      </c>
      <c r="W31" s="74">
        <v>0.5568510917763478</v>
      </c>
      <c r="X31" s="74">
        <v>0.042310946686839546</v>
      </c>
      <c r="Y31" s="74" t="s">
        <v>114</v>
      </c>
    </row>
    <row r="32" ht="14.25" customHeight="1">
      <c r="A32" s="74" t="s">
        <v>59</v>
      </c>
      <c r="B32" s="74" t="s">
        <v>66</v>
      </c>
      <c r="C32" s="74">
        <v>1.0</v>
      </c>
      <c r="D32" s="74">
        <v>0.0</v>
      </c>
      <c r="E32" s="74">
        <v>0.125</v>
      </c>
      <c r="F32" s="74">
        <v>0.0</v>
      </c>
      <c r="G32" s="74">
        <v>0.0625</v>
      </c>
      <c r="H32" s="74">
        <v>0.0737</v>
      </c>
      <c r="I32" s="74">
        <v>190.1</v>
      </c>
      <c r="J32" s="74">
        <v>72763.0</v>
      </c>
      <c r="K32" s="74">
        <v>7.3799999999999955</v>
      </c>
      <c r="L32" s="74">
        <v>0.23544303797468352</v>
      </c>
      <c r="M32" s="74">
        <v>0.01952866025193069</v>
      </c>
      <c r="N32" s="74">
        <v>0.1708066474978461</v>
      </c>
      <c r="O32" s="74">
        <v>0.15290201789057611</v>
      </c>
      <c r="P32" s="74">
        <v>0.1446700909037591</v>
      </c>
      <c r="Q32" s="74">
        <v>20.0</v>
      </c>
      <c r="R32" s="74">
        <v>99.99</v>
      </c>
      <c r="S32" s="74">
        <v>0.9796</v>
      </c>
      <c r="T32" s="74">
        <v>0.05063291139240506</v>
      </c>
      <c r="U32" s="74">
        <v>0.9994</v>
      </c>
      <c r="V32" s="74">
        <v>0.9513126491646778</v>
      </c>
      <c r="W32" s="74">
        <v>0.6671151868523609</v>
      </c>
      <c r="X32" s="74">
        <v>-0.45994509594860183</v>
      </c>
      <c r="Y32" s="74" t="s">
        <v>113</v>
      </c>
    </row>
    <row r="33" ht="14.25" customHeight="1">
      <c r="A33" s="74" t="s">
        <v>59</v>
      </c>
      <c r="B33" s="74" t="s">
        <v>67</v>
      </c>
      <c r="C33" s="74">
        <v>4.0</v>
      </c>
      <c r="D33" s="74">
        <v>1.0</v>
      </c>
      <c r="E33" s="74">
        <v>0.5</v>
      </c>
      <c r="F33" s="74">
        <v>1.0</v>
      </c>
      <c r="G33" s="74">
        <v>0.75</v>
      </c>
      <c r="H33" s="74">
        <v>0.0718</v>
      </c>
      <c r="I33" s="74">
        <v>220.61</v>
      </c>
      <c r="J33" s="74">
        <v>122983.0</v>
      </c>
      <c r="K33" s="74">
        <v>4.069999999999993</v>
      </c>
      <c r="L33" s="74">
        <v>0.22582278481012658</v>
      </c>
      <c r="M33" s="74">
        <v>0.022945447866831514</v>
      </c>
      <c r="N33" s="74">
        <v>0.30113040680112524</v>
      </c>
      <c r="O33" s="74">
        <v>0.08404410235073834</v>
      </c>
      <c r="P33" s="74">
        <v>0.15848568545720543</v>
      </c>
      <c r="Q33" s="74">
        <v>40.0</v>
      </c>
      <c r="R33" s="74">
        <v>99.75</v>
      </c>
      <c r="S33" s="74">
        <v>0.9804</v>
      </c>
      <c r="T33" s="74">
        <v>0.1350210970464135</v>
      </c>
      <c r="U33" s="74">
        <v>0.9862</v>
      </c>
      <c r="V33" s="74">
        <v>0.9532219570405729</v>
      </c>
      <c r="W33" s="74">
        <v>0.6914810180289953</v>
      </c>
      <c r="X33" s="74">
        <v>0.21700466742821012</v>
      </c>
      <c r="Y33" s="74" t="s">
        <v>115</v>
      </c>
    </row>
    <row r="34" ht="14.25" customHeight="1">
      <c r="A34" s="74" t="s">
        <v>59</v>
      </c>
      <c r="B34" s="74" t="s">
        <v>68</v>
      </c>
      <c r="C34" s="74">
        <v>5.0</v>
      </c>
      <c r="D34" s="74">
        <v>0.0</v>
      </c>
      <c r="E34" s="74">
        <v>0.625</v>
      </c>
      <c r="F34" s="74">
        <v>0.0</v>
      </c>
      <c r="G34" s="74">
        <v>0.3125</v>
      </c>
      <c r="H34" s="74">
        <v>0.0691</v>
      </c>
      <c r="I34" s="74">
        <v>231.99</v>
      </c>
      <c r="J34" s="74">
        <v>159673.0</v>
      </c>
      <c r="K34" s="74">
        <v>0.3499999999999943</v>
      </c>
      <c r="L34" s="74">
        <v>0.21215189873417717</v>
      </c>
      <c r="M34" s="74">
        <v>0.02421988388969521</v>
      </c>
      <c r="N34" s="74">
        <v>0.3963430457664241</v>
      </c>
      <c r="O34" s="74">
        <v>0.006656958602038552</v>
      </c>
      <c r="P34" s="74">
        <v>0.15984294674808375</v>
      </c>
      <c r="Q34" s="74">
        <v>52.0</v>
      </c>
      <c r="R34" s="74">
        <v>99.99</v>
      </c>
      <c r="S34" s="74">
        <v>0.9274</v>
      </c>
      <c r="T34" s="74">
        <v>0.18565400843881857</v>
      </c>
      <c r="U34" s="74">
        <v>0.9994</v>
      </c>
      <c r="V34" s="74">
        <v>0.8267303102625299</v>
      </c>
      <c r="W34" s="74">
        <v>0.6705947729004494</v>
      </c>
      <c r="X34" s="74">
        <v>-0.1982518261523657</v>
      </c>
      <c r="Y34" s="74" t="s">
        <v>114</v>
      </c>
    </row>
    <row r="35" ht="14.25" customHeight="1">
      <c r="A35" s="74" t="s">
        <v>59</v>
      </c>
      <c r="B35" s="74" t="s">
        <v>69</v>
      </c>
      <c r="C35" s="74">
        <v>1.0</v>
      </c>
      <c r="D35" s="74">
        <v>0.0</v>
      </c>
      <c r="E35" s="74">
        <v>0.125</v>
      </c>
      <c r="F35" s="74">
        <v>0.0</v>
      </c>
      <c r="G35" s="74">
        <v>0.0625</v>
      </c>
      <c r="H35" s="74">
        <v>0.0698</v>
      </c>
      <c r="I35" s="74">
        <v>161.45</v>
      </c>
      <c r="J35" s="74">
        <v>51275.0</v>
      </c>
      <c r="K35" s="74">
        <v>2.9399999999999977</v>
      </c>
      <c r="L35" s="74">
        <v>0.21569620253164556</v>
      </c>
      <c r="M35" s="74">
        <v>0.01632017237363149</v>
      </c>
      <c r="N35" s="74">
        <v>0.11504406406676562</v>
      </c>
      <c r="O35" s="74">
        <v>0.0605367172872893</v>
      </c>
      <c r="P35" s="74">
        <v>0.10189928906483299</v>
      </c>
      <c r="Q35" s="74">
        <v>20.0</v>
      </c>
      <c r="R35" s="74">
        <v>99.72</v>
      </c>
      <c r="S35" s="74">
        <v>0.9349</v>
      </c>
      <c r="T35" s="74">
        <v>0.05063291139240506</v>
      </c>
      <c r="U35" s="74">
        <v>0.9845</v>
      </c>
      <c r="V35" s="74">
        <v>0.8446300715990452</v>
      </c>
      <c r="W35" s="74">
        <v>0.6265876609971501</v>
      </c>
      <c r="X35" s="74">
        <v>-0.46218837193231715</v>
      </c>
      <c r="Y35" s="74" t="s">
        <v>113</v>
      </c>
    </row>
    <row r="36" ht="14.25" customHeight="1">
      <c r="A36" s="74" t="s">
        <v>59</v>
      </c>
      <c r="B36" s="74" t="s">
        <v>70</v>
      </c>
      <c r="C36" s="74">
        <v>0.0</v>
      </c>
      <c r="D36" s="74">
        <v>0.0</v>
      </c>
      <c r="E36" s="74">
        <v>0.0</v>
      </c>
      <c r="F36" s="74">
        <v>0.0</v>
      </c>
      <c r="G36" s="74">
        <v>0.0</v>
      </c>
      <c r="H36" s="74">
        <v>0.0666</v>
      </c>
      <c r="I36" s="74">
        <v>195.77</v>
      </c>
      <c r="J36" s="74">
        <v>67703.0</v>
      </c>
      <c r="K36" s="74">
        <v>2.430000000000007</v>
      </c>
      <c r="L36" s="74">
        <v>0.19949367088607597</v>
      </c>
      <c r="M36" s="74">
        <v>0.020163638481248546</v>
      </c>
      <c r="N36" s="74">
        <v>0.15767565940396733</v>
      </c>
      <c r="O36" s="74">
        <v>0.04992718951529032</v>
      </c>
      <c r="P36" s="74">
        <v>0.10681503957164554</v>
      </c>
      <c r="Q36" s="74">
        <v>24.0</v>
      </c>
      <c r="R36" s="74">
        <v>100.0</v>
      </c>
      <c r="S36" s="74">
        <v>0.9257</v>
      </c>
      <c r="T36" s="74">
        <v>0.06751054852320675</v>
      </c>
      <c r="U36" s="74">
        <v>1.0</v>
      </c>
      <c r="V36" s="74">
        <v>0.8226730310262529</v>
      </c>
      <c r="W36" s="74">
        <v>0.6300611931831532</v>
      </c>
      <c r="X36" s="74">
        <v>-0.5232461536115077</v>
      </c>
      <c r="Y36" s="74" t="s">
        <v>116</v>
      </c>
    </row>
    <row r="37" ht="14.25" customHeight="1">
      <c r="A37" s="74" t="s">
        <v>59</v>
      </c>
      <c r="B37" s="74" t="s">
        <v>71</v>
      </c>
      <c r="C37" s="74">
        <v>7.0</v>
      </c>
      <c r="D37" s="74">
        <v>0.0</v>
      </c>
      <c r="E37" s="74">
        <v>0.875</v>
      </c>
      <c r="F37" s="74">
        <v>0.0</v>
      </c>
      <c r="G37" s="74">
        <v>0.4375</v>
      </c>
      <c r="H37" s="74">
        <v>0.0311</v>
      </c>
      <c r="I37" s="74">
        <v>805.06</v>
      </c>
      <c r="J37" s="74">
        <v>287262.0</v>
      </c>
      <c r="K37" s="74">
        <v>3.530000000000001</v>
      </c>
      <c r="L37" s="74">
        <v>0.01974683544303798</v>
      </c>
      <c r="M37" s="74">
        <v>0.08839748069307816</v>
      </c>
      <c r="N37" s="74">
        <v>0.7274437651162067</v>
      </c>
      <c r="O37" s="74">
        <v>0.07281048470979821</v>
      </c>
      <c r="P37" s="74">
        <v>0.22709964149053027</v>
      </c>
      <c r="Q37" s="74">
        <v>60.0</v>
      </c>
      <c r="R37" s="74">
        <v>99.43</v>
      </c>
      <c r="S37" s="74">
        <v>0.8629</v>
      </c>
      <c r="T37" s="74">
        <v>0.21940928270042195</v>
      </c>
      <c r="U37" s="74">
        <v>0.9685</v>
      </c>
      <c r="V37" s="74">
        <v>0.6727923627684964</v>
      </c>
      <c r="W37" s="74">
        <v>0.6202338818229728</v>
      </c>
      <c r="X37" s="74">
        <v>0.044365759667557514</v>
      </c>
      <c r="Y37" s="74" t="s">
        <v>114</v>
      </c>
    </row>
    <row r="38" ht="14.25" customHeight="1">
      <c r="A38" s="74" t="s">
        <v>59</v>
      </c>
      <c r="B38" s="74" t="s">
        <v>72</v>
      </c>
      <c r="C38" s="74">
        <v>3.0</v>
      </c>
      <c r="D38" s="74">
        <v>0.0</v>
      </c>
      <c r="E38" s="74">
        <v>0.375</v>
      </c>
      <c r="F38" s="74">
        <v>0.0</v>
      </c>
      <c r="G38" s="74">
        <v>0.1875</v>
      </c>
      <c r="H38" s="74">
        <v>0.0842</v>
      </c>
      <c r="I38" s="74">
        <v>177.52</v>
      </c>
      <c r="J38" s="74">
        <v>166525.0</v>
      </c>
      <c r="K38" s="74">
        <v>5.609999999999999</v>
      </c>
      <c r="L38" s="74">
        <v>0.28860759493670884</v>
      </c>
      <c r="M38" s="74">
        <v>0.01811983730222724</v>
      </c>
      <c r="N38" s="74">
        <v>0.414124375888807</v>
      </c>
      <c r="O38" s="74">
        <v>0.11608071562304968</v>
      </c>
      <c r="P38" s="74">
        <v>0.2092331309376982</v>
      </c>
      <c r="Q38" s="74">
        <v>39.0</v>
      </c>
      <c r="R38" s="74">
        <v>99.97</v>
      </c>
      <c r="S38" s="74">
        <v>0.9134</v>
      </c>
      <c r="T38" s="74">
        <v>0.1308016877637131</v>
      </c>
      <c r="U38" s="74">
        <v>0.9983</v>
      </c>
      <c r="V38" s="74">
        <v>0.7933174224343675</v>
      </c>
      <c r="W38" s="74">
        <v>0.6408063700660268</v>
      </c>
      <c r="X38" s="74">
        <v>-0.24407323912832862</v>
      </c>
      <c r="Y38" s="74" t="s">
        <v>113</v>
      </c>
    </row>
    <row r="39" ht="14.25" customHeight="1">
      <c r="A39" s="74" t="s">
        <v>59</v>
      </c>
      <c r="B39" s="74" t="s">
        <v>73</v>
      </c>
      <c r="C39" s="74">
        <v>3.0</v>
      </c>
      <c r="D39" s="74">
        <v>0.0</v>
      </c>
      <c r="E39" s="74">
        <v>0.375</v>
      </c>
      <c r="F39" s="74">
        <v>0.0</v>
      </c>
      <c r="G39" s="74">
        <v>0.1875</v>
      </c>
      <c r="H39" s="74">
        <v>0.1616</v>
      </c>
      <c r="I39" s="74">
        <v>156.9</v>
      </c>
      <c r="J39" s="74">
        <v>44056.0</v>
      </c>
      <c r="K39" s="74">
        <v>26.75</v>
      </c>
      <c r="L39" s="74">
        <v>0.680506329113924</v>
      </c>
      <c r="M39" s="74">
        <v>0.015810621942697414</v>
      </c>
      <c r="N39" s="74">
        <v>0.0963103480490362</v>
      </c>
      <c r="O39" s="74">
        <v>0.5558560432702309</v>
      </c>
      <c r="P39" s="74">
        <v>0.3371208355939721</v>
      </c>
      <c r="Q39" s="74">
        <v>39.0</v>
      </c>
      <c r="R39" s="74">
        <v>95.95</v>
      </c>
      <c r="S39" s="74">
        <v>0.846</v>
      </c>
      <c r="T39" s="74">
        <v>0.1308016877637131</v>
      </c>
      <c r="U39" s="74">
        <v>0.7761</v>
      </c>
      <c r="V39" s="74">
        <v>0.6324582338902147</v>
      </c>
      <c r="W39" s="74">
        <v>0.5131199738846426</v>
      </c>
      <c r="X39" s="74">
        <v>0.011500861709329513</v>
      </c>
      <c r="Y39" s="74" t="s">
        <v>114</v>
      </c>
    </row>
    <row r="40" ht="14.25" customHeight="1">
      <c r="A40" s="74" t="s">
        <v>59</v>
      </c>
      <c r="B40" s="74" t="s">
        <v>74</v>
      </c>
      <c r="C40" s="74">
        <v>2.0</v>
      </c>
      <c r="D40" s="74">
        <v>1.0</v>
      </c>
      <c r="E40" s="74">
        <v>0.25</v>
      </c>
      <c r="F40" s="74">
        <v>1.0</v>
      </c>
      <c r="G40" s="74">
        <v>0.625</v>
      </c>
      <c r="H40" s="74">
        <v>0.078</v>
      </c>
      <c r="I40" s="74">
        <v>89.07</v>
      </c>
      <c r="J40" s="74">
        <v>38887.0</v>
      </c>
      <c r="K40" s="74">
        <v>2.8900000000000006</v>
      </c>
      <c r="L40" s="74">
        <v>0.2572151898734177</v>
      </c>
      <c r="M40" s="74">
        <v>0.008214400903080147</v>
      </c>
      <c r="N40" s="74">
        <v>0.08289649874918256</v>
      </c>
      <c r="O40" s="74">
        <v>0.05949656750572081</v>
      </c>
      <c r="P40" s="74">
        <v>0.10195566425785028</v>
      </c>
      <c r="Q40" s="74">
        <v>13.0</v>
      </c>
      <c r="R40" s="74">
        <v>99.6</v>
      </c>
      <c r="S40" s="74">
        <v>0.8766</v>
      </c>
      <c r="T40" s="74">
        <v>0.02109704641350211</v>
      </c>
      <c r="U40" s="74">
        <v>0.9779</v>
      </c>
      <c r="V40" s="74">
        <v>0.7054892601431982</v>
      </c>
      <c r="W40" s="74">
        <v>0.5681621021855667</v>
      </c>
      <c r="X40" s="74">
        <v>0.15879356207228357</v>
      </c>
      <c r="Y40" s="74" t="s">
        <v>115</v>
      </c>
    </row>
    <row r="41" ht="14.25" customHeight="1">
      <c r="A41" s="74" t="s">
        <v>59</v>
      </c>
      <c r="B41" s="74" t="s">
        <v>75</v>
      </c>
      <c r="C41" s="74">
        <v>1.0</v>
      </c>
      <c r="D41" s="74">
        <v>0.0</v>
      </c>
      <c r="E41" s="74">
        <v>0.125</v>
      </c>
      <c r="F41" s="74">
        <v>0.0</v>
      </c>
      <c r="G41" s="74">
        <v>0.0625</v>
      </c>
      <c r="H41" s="74">
        <v>0.064</v>
      </c>
      <c r="I41" s="74">
        <v>41.92</v>
      </c>
      <c r="J41" s="74">
        <v>9691.0</v>
      </c>
      <c r="K41" s="74">
        <v>33.459999999999994</v>
      </c>
      <c r="L41" s="74">
        <v>0.18632911392405063</v>
      </c>
      <c r="M41" s="74">
        <v>0.002934114569334695</v>
      </c>
      <c r="N41" s="74">
        <v>0.007131216458889108</v>
      </c>
      <c r="O41" s="74">
        <v>0.6954441439567296</v>
      </c>
      <c r="P41" s="74">
        <v>0.222959647227251</v>
      </c>
      <c r="Q41" s="74">
        <v>9.0</v>
      </c>
      <c r="R41" s="74">
        <v>100.0</v>
      </c>
      <c r="S41" s="74">
        <v>0.8654</v>
      </c>
      <c r="T41" s="74">
        <v>0.004219409282700422</v>
      </c>
      <c r="U41" s="74">
        <v>1.0</v>
      </c>
      <c r="V41" s="74">
        <v>0.6787589498806682</v>
      </c>
      <c r="W41" s="74">
        <v>0.5609927863877896</v>
      </c>
      <c r="X41" s="74">
        <v>-0.27553313916053856</v>
      </c>
      <c r="Y41" s="74" t="s">
        <v>113</v>
      </c>
    </row>
    <row r="42" ht="14.25" customHeight="1">
      <c r="A42" s="74" t="s">
        <v>59</v>
      </c>
      <c r="B42" s="74" t="s">
        <v>76</v>
      </c>
      <c r="C42" s="74">
        <v>0.0</v>
      </c>
      <c r="D42" s="74">
        <v>0.0</v>
      </c>
      <c r="E42" s="74">
        <v>0.0</v>
      </c>
      <c r="F42" s="74">
        <v>0.0</v>
      </c>
      <c r="G42" s="74">
        <v>0.0</v>
      </c>
      <c r="H42" s="74">
        <v>0.1079</v>
      </c>
      <c r="I42" s="74">
        <v>78.28</v>
      </c>
      <c r="J42" s="74">
        <v>26186.0</v>
      </c>
      <c r="K42" s="74">
        <v>16.92</v>
      </c>
      <c r="L42" s="74">
        <v>0.4086075949367088</v>
      </c>
      <c r="M42" s="74">
        <v>0.0070060384525793325</v>
      </c>
      <c r="N42" s="74">
        <v>0.0499366806107726</v>
      </c>
      <c r="O42" s="74">
        <v>0.3513625962138548</v>
      </c>
      <c r="P42" s="74">
        <v>0.20422822755347889</v>
      </c>
      <c r="Q42" s="74">
        <v>13.0</v>
      </c>
      <c r="R42" s="74">
        <v>99.98</v>
      </c>
      <c r="S42" s="74">
        <v>1.0</v>
      </c>
      <c r="T42" s="74">
        <v>0.02109704641350211</v>
      </c>
      <c r="U42" s="74">
        <v>0.9989</v>
      </c>
      <c r="V42" s="74">
        <v>1.0</v>
      </c>
      <c r="W42" s="74">
        <v>0.6733323488045008</v>
      </c>
      <c r="X42" s="74">
        <v>-0.46910412125102185</v>
      </c>
      <c r="Y42" s="74" t="s">
        <v>113</v>
      </c>
    </row>
    <row r="43" ht="14.25" customHeight="1">
      <c r="A43" s="74" t="s">
        <v>59</v>
      </c>
      <c r="B43" s="74" t="s">
        <v>77</v>
      </c>
      <c r="C43" s="74">
        <v>8.0</v>
      </c>
      <c r="D43" s="74">
        <v>0.0</v>
      </c>
      <c r="E43" s="74">
        <v>1.0</v>
      </c>
      <c r="F43" s="74">
        <v>0.0</v>
      </c>
      <c r="G43" s="74">
        <v>0.5</v>
      </c>
      <c r="H43" s="74">
        <v>0.0618</v>
      </c>
      <c r="I43" s="74">
        <v>359.16</v>
      </c>
      <c r="J43" s="74">
        <v>105754.0</v>
      </c>
      <c r="K43" s="74">
        <v>0.7000000000000028</v>
      </c>
      <c r="L43" s="74">
        <v>0.17518987341772155</v>
      </c>
      <c r="M43" s="74">
        <v>0.03846153846153846</v>
      </c>
      <c r="N43" s="74">
        <v>0.2564201708585486</v>
      </c>
      <c r="O43" s="74">
        <v>0.01393800707301855</v>
      </c>
      <c r="P43" s="74">
        <v>0.1210023974527068</v>
      </c>
      <c r="Q43" s="74">
        <v>26.0</v>
      </c>
      <c r="R43" s="74">
        <v>100.0</v>
      </c>
      <c r="S43" s="74">
        <v>0.9588</v>
      </c>
      <c r="T43" s="74">
        <v>0.0759493670886076</v>
      </c>
      <c r="U43" s="74">
        <v>1.0</v>
      </c>
      <c r="V43" s="74">
        <v>0.9016706443914081</v>
      </c>
      <c r="W43" s="74">
        <v>0.6592066704933385</v>
      </c>
      <c r="X43" s="74">
        <v>-0.038204273040631676</v>
      </c>
      <c r="Y43" s="74" t="s">
        <v>114</v>
      </c>
    </row>
    <row r="44" ht="14.25" customHeight="1">
      <c r="A44" s="74" t="s">
        <v>59</v>
      </c>
      <c r="B44" s="74" t="s">
        <v>78</v>
      </c>
      <c r="C44" s="74">
        <v>6.0</v>
      </c>
      <c r="D44" s="74">
        <v>0.0</v>
      </c>
      <c r="E44" s="74">
        <v>0.75</v>
      </c>
      <c r="F44" s="74">
        <v>0.0</v>
      </c>
      <c r="G44" s="74">
        <v>0.375</v>
      </c>
      <c r="H44" s="74">
        <v>0.101</v>
      </c>
      <c r="I44" s="74">
        <v>499.92</v>
      </c>
      <c r="J44" s="74">
        <v>74299.0</v>
      </c>
      <c r="K44" s="74">
        <v>1.8799999999999955</v>
      </c>
      <c r="L44" s="74">
        <v>0.3736708860759494</v>
      </c>
      <c r="M44" s="74">
        <v>0.05422512497984196</v>
      </c>
      <c r="N44" s="74">
        <v>0.1747926549508496</v>
      </c>
      <c r="O44" s="74">
        <v>0.038485541918036076</v>
      </c>
      <c r="P44" s="74">
        <v>0.16029355198116926</v>
      </c>
      <c r="Q44" s="74">
        <v>20.0</v>
      </c>
      <c r="R44" s="74">
        <v>99.99</v>
      </c>
      <c r="S44" s="74">
        <v>0.9934</v>
      </c>
      <c r="T44" s="74">
        <v>0.05063291139240506</v>
      </c>
      <c r="U44" s="74">
        <v>0.9994</v>
      </c>
      <c r="V44" s="74">
        <v>0.9842482100238662</v>
      </c>
      <c r="W44" s="74">
        <v>0.678093707138757</v>
      </c>
      <c r="X44" s="74">
        <v>-0.14280015515758782</v>
      </c>
      <c r="Y44" s="74" t="s">
        <v>114</v>
      </c>
    </row>
    <row r="45" ht="14.25" customHeight="1">
      <c r="A45" s="74" t="s">
        <v>59</v>
      </c>
      <c r="B45" s="74" t="s">
        <v>79</v>
      </c>
      <c r="C45" s="74">
        <v>1.0</v>
      </c>
      <c r="D45" s="74">
        <v>0.0</v>
      </c>
      <c r="E45" s="74">
        <v>0.125</v>
      </c>
      <c r="F45" s="74">
        <v>0.0</v>
      </c>
      <c r="G45" s="74">
        <v>0.0625</v>
      </c>
      <c r="H45" s="74">
        <v>0.0804</v>
      </c>
      <c r="I45" s="74">
        <v>72.4</v>
      </c>
      <c r="J45" s="74">
        <v>37550.0</v>
      </c>
      <c r="K45" s="74">
        <v>15.14</v>
      </c>
      <c r="L45" s="74">
        <v>0.2693670886075949</v>
      </c>
      <c r="M45" s="74">
        <v>0.006347542511064524</v>
      </c>
      <c r="N45" s="74">
        <v>0.07942690762635332</v>
      </c>
      <c r="O45" s="74">
        <v>0.31433326399001454</v>
      </c>
      <c r="P45" s="74">
        <v>0.1673687006837568</v>
      </c>
      <c r="Q45" s="74">
        <v>19.0</v>
      </c>
      <c r="R45" s="74">
        <v>99.99</v>
      </c>
      <c r="S45" s="74">
        <v>0.6263</v>
      </c>
      <c r="T45" s="74">
        <v>0.046413502109704644</v>
      </c>
      <c r="U45" s="74">
        <v>0.9994</v>
      </c>
      <c r="V45" s="74">
        <v>0.1081145584725537</v>
      </c>
      <c r="W45" s="74">
        <v>0.3846426868607528</v>
      </c>
      <c r="X45" s="74">
        <v>-0.154773986176996</v>
      </c>
      <c r="Y45" s="74" t="s">
        <v>114</v>
      </c>
    </row>
    <row r="46" ht="14.25" customHeight="1">
      <c r="A46" s="74" t="s">
        <v>59</v>
      </c>
      <c r="B46" s="74" t="s">
        <v>80</v>
      </c>
      <c r="C46" s="74">
        <v>5.0</v>
      </c>
      <c r="D46" s="74">
        <v>0.0</v>
      </c>
      <c r="E46" s="74">
        <v>0.625</v>
      </c>
      <c r="F46" s="74">
        <v>0.0</v>
      </c>
      <c r="G46" s="74">
        <v>0.3125</v>
      </c>
      <c r="H46" s="74">
        <v>0.0732</v>
      </c>
      <c r="I46" s="74">
        <v>72.99</v>
      </c>
      <c r="J46" s="74">
        <v>38535.0</v>
      </c>
      <c r="K46" s="74">
        <v>12.379999999999995</v>
      </c>
      <c r="L46" s="74">
        <v>0.23291139240506328</v>
      </c>
      <c r="M46" s="74">
        <v>0.0064136160834274035</v>
      </c>
      <c r="N46" s="74">
        <v>0.08198303870786926</v>
      </c>
      <c r="O46" s="74">
        <v>0.25691699604743073</v>
      </c>
      <c r="P46" s="74">
        <v>0.1445562608109477</v>
      </c>
      <c r="Q46" s="74">
        <v>19.0</v>
      </c>
      <c r="R46" s="74">
        <v>99.7</v>
      </c>
      <c r="S46" s="74">
        <v>0.8947</v>
      </c>
      <c r="T46" s="74">
        <v>0.046413502109704644</v>
      </c>
      <c r="U46" s="74">
        <v>0.9834</v>
      </c>
      <c r="V46" s="74">
        <v>0.7486873508353223</v>
      </c>
      <c r="W46" s="74">
        <v>0.5928336176483424</v>
      </c>
      <c r="X46" s="74">
        <v>-0.13577735683739472</v>
      </c>
      <c r="Y46" s="74" t="s">
        <v>114</v>
      </c>
    </row>
    <row r="47" ht="14.25" customHeight="1">
      <c r="A47" s="74" t="s">
        <v>59</v>
      </c>
      <c r="B47" s="74" t="s">
        <v>81</v>
      </c>
      <c r="C47" s="74">
        <v>2.0</v>
      </c>
      <c r="D47" s="74">
        <v>0.0</v>
      </c>
      <c r="E47" s="74">
        <v>0.25</v>
      </c>
      <c r="F47" s="74">
        <v>0.0</v>
      </c>
      <c r="G47" s="74">
        <v>0.125</v>
      </c>
      <c r="H47" s="74">
        <v>0.068</v>
      </c>
      <c r="I47" s="74">
        <v>111.13</v>
      </c>
      <c r="J47" s="74">
        <v>43967.0</v>
      </c>
      <c r="K47" s="74">
        <v>10.030000000000001</v>
      </c>
      <c r="L47" s="74">
        <v>0.20658227848101265</v>
      </c>
      <c r="M47" s="74">
        <v>0.01068488057481768</v>
      </c>
      <c r="N47" s="74">
        <v>0.09607938798177232</v>
      </c>
      <c r="O47" s="74">
        <v>0.20802995631370919</v>
      </c>
      <c r="P47" s="74">
        <v>0.13034412583782795</v>
      </c>
      <c r="Q47" s="74">
        <v>20.0</v>
      </c>
      <c r="R47" s="74">
        <v>99.82</v>
      </c>
      <c r="S47" s="74">
        <v>0.9259</v>
      </c>
      <c r="T47" s="74">
        <v>0.05063291139240506</v>
      </c>
      <c r="U47" s="74">
        <v>0.99</v>
      </c>
      <c r="V47" s="74">
        <v>0.8231503579952266</v>
      </c>
      <c r="W47" s="74">
        <v>0.6212610897958772</v>
      </c>
      <c r="X47" s="74">
        <v>-0.3659169639580493</v>
      </c>
      <c r="Y47" s="74" t="s">
        <v>113</v>
      </c>
    </row>
    <row r="48" ht="14.25" customHeight="1">
      <c r="A48" s="74" t="s">
        <v>59</v>
      </c>
      <c r="B48" s="74" t="s">
        <v>82</v>
      </c>
      <c r="C48" s="74">
        <v>2.0</v>
      </c>
      <c r="D48" s="74">
        <v>0.0</v>
      </c>
      <c r="E48" s="74">
        <v>0.25</v>
      </c>
      <c r="F48" s="74">
        <v>0.0</v>
      </c>
      <c r="G48" s="74">
        <v>0.125</v>
      </c>
      <c r="H48" s="74">
        <v>0.0842</v>
      </c>
      <c r="I48" s="74">
        <v>112.72</v>
      </c>
      <c r="J48" s="74">
        <v>56448.0</v>
      </c>
      <c r="K48" s="74">
        <v>6.319999999999993</v>
      </c>
      <c r="L48" s="74">
        <v>0.28860759493670884</v>
      </c>
      <c r="M48" s="74">
        <v>0.010862943252880359</v>
      </c>
      <c r="N48" s="74">
        <v>0.12846829359436146</v>
      </c>
      <c r="O48" s="74">
        <v>0.1308508425213229</v>
      </c>
      <c r="P48" s="74">
        <v>0.1396974185763184</v>
      </c>
      <c r="Q48" s="74">
        <v>22.0</v>
      </c>
      <c r="R48" s="74">
        <v>100.0</v>
      </c>
      <c r="S48" s="74">
        <v>0.8778</v>
      </c>
      <c r="T48" s="74">
        <v>0.05907172995780591</v>
      </c>
      <c r="U48" s="74">
        <v>1.0</v>
      </c>
      <c r="V48" s="74">
        <v>0.7083532219570406</v>
      </c>
      <c r="W48" s="74">
        <v>0.5891416506382822</v>
      </c>
      <c r="X48" s="74">
        <v>-0.32444423206196377</v>
      </c>
      <c r="Y48" s="74" t="s">
        <v>113</v>
      </c>
    </row>
    <row r="49" ht="14.25" customHeight="1">
      <c r="A49" s="74" t="s">
        <v>59</v>
      </c>
      <c r="B49" s="74" t="s">
        <v>83</v>
      </c>
      <c r="C49" s="74">
        <v>5.0</v>
      </c>
      <c r="D49" s="74">
        <v>0.0</v>
      </c>
      <c r="E49" s="74">
        <v>0.625</v>
      </c>
      <c r="F49" s="74">
        <v>0.0</v>
      </c>
      <c r="G49" s="74">
        <v>0.3125</v>
      </c>
      <c r="H49" s="74">
        <v>0.2079</v>
      </c>
      <c r="I49" s="74">
        <v>130.4</v>
      </c>
      <c r="J49" s="74">
        <v>19724.0</v>
      </c>
      <c r="K49" s="74">
        <v>25.659999999999997</v>
      </c>
      <c r="L49" s="74">
        <v>0.9149367088607594</v>
      </c>
      <c r="M49" s="74">
        <v>0.01284291064165278</v>
      </c>
      <c r="N49" s="74">
        <v>0.03316742269325389</v>
      </c>
      <c r="O49" s="74">
        <v>0.5331807780320366</v>
      </c>
      <c r="P49" s="74">
        <v>0.37353195505692566</v>
      </c>
      <c r="Q49" s="74">
        <v>12.0</v>
      </c>
      <c r="R49" s="74">
        <v>96.79</v>
      </c>
      <c r="S49" s="74">
        <v>0.7257</v>
      </c>
      <c r="T49" s="74">
        <v>0.016877637130801686</v>
      </c>
      <c r="U49" s="74">
        <v>0.8226</v>
      </c>
      <c r="V49" s="74">
        <v>0.34534606205250606</v>
      </c>
      <c r="W49" s="74">
        <v>0.3949412330611026</v>
      </c>
      <c r="X49" s="74">
        <v>0.291090721995823</v>
      </c>
      <c r="Y49" s="74" t="s">
        <v>115</v>
      </c>
    </row>
    <row r="50" ht="14.25" customHeight="1">
      <c r="A50" s="74" t="s">
        <v>59</v>
      </c>
      <c r="B50" s="74" t="s">
        <v>84</v>
      </c>
      <c r="C50" s="74">
        <v>3.0</v>
      </c>
      <c r="D50" s="74">
        <v>0.0</v>
      </c>
      <c r="E50" s="74">
        <v>0.375</v>
      </c>
      <c r="F50" s="74">
        <v>0.0</v>
      </c>
      <c r="G50" s="74">
        <v>0.1875</v>
      </c>
      <c r="H50" s="74">
        <v>0.2247</v>
      </c>
      <c r="I50" s="74">
        <v>213.53</v>
      </c>
      <c r="J50" s="74">
        <v>13635.0</v>
      </c>
      <c r="K50" s="74">
        <v>24.97</v>
      </c>
      <c r="L50" s="74">
        <v>1.0</v>
      </c>
      <c r="M50" s="74">
        <v>0.022152564998476947</v>
      </c>
      <c r="N50" s="74">
        <v>0.017366121012695017</v>
      </c>
      <c r="O50" s="74">
        <v>0.5188267110463907</v>
      </c>
      <c r="P50" s="74">
        <v>0.3895863492643906</v>
      </c>
      <c r="Q50" s="74">
        <v>15.0</v>
      </c>
      <c r="R50" s="74">
        <v>98.65</v>
      </c>
      <c r="S50" s="74">
        <v>0.581</v>
      </c>
      <c r="T50" s="74">
        <v>0.029535864978902954</v>
      </c>
      <c r="U50" s="74">
        <v>0.9254</v>
      </c>
      <c r="V50" s="74">
        <v>0.0</v>
      </c>
      <c r="W50" s="74">
        <v>0.31831195499296766</v>
      </c>
      <c r="X50" s="74">
        <v>0.25877439427142296</v>
      </c>
      <c r="Y50" s="74" t="s">
        <v>115</v>
      </c>
    </row>
    <row r="51" ht="14.25" customHeight="1">
      <c r="A51" s="74" t="s">
        <v>59</v>
      </c>
      <c r="B51" s="74" t="s">
        <v>85</v>
      </c>
      <c r="C51" s="74">
        <v>1.0</v>
      </c>
      <c r="D51" s="74">
        <v>0.0</v>
      </c>
      <c r="E51" s="74">
        <v>0.125</v>
      </c>
      <c r="F51" s="74">
        <v>0.0</v>
      </c>
      <c r="G51" s="74">
        <v>0.0625</v>
      </c>
      <c r="H51" s="74">
        <v>0.1028</v>
      </c>
      <c r="I51" s="74">
        <v>8041.5</v>
      </c>
      <c r="J51" s="74">
        <v>14415.0</v>
      </c>
      <c r="K51" s="74">
        <v>1.0400000000000063</v>
      </c>
      <c r="L51" s="74">
        <v>0.3827848101265823</v>
      </c>
      <c r="M51" s="74">
        <v>0.8987999247433209</v>
      </c>
      <c r="N51" s="74">
        <v>0.019390265422423367</v>
      </c>
      <c r="O51" s="74">
        <v>0.021011025587684733</v>
      </c>
      <c r="P51" s="74">
        <v>0.33049650647000284</v>
      </c>
      <c r="Q51" s="74">
        <v>8.0</v>
      </c>
      <c r="R51" s="74">
        <v>100.0</v>
      </c>
      <c r="S51" s="74">
        <v>1.0</v>
      </c>
      <c r="T51" s="74">
        <v>0.0</v>
      </c>
      <c r="U51" s="74">
        <v>1.0</v>
      </c>
      <c r="V51" s="74">
        <v>1.0</v>
      </c>
      <c r="W51" s="74">
        <v>0.6666666666666666</v>
      </c>
      <c r="X51" s="74">
        <v>-0.2736701601966638</v>
      </c>
      <c r="Y51" s="74" t="s">
        <v>113</v>
      </c>
    </row>
    <row r="52" ht="14.25" customHeight="1">
      <c r="A52" s="74" t="s">
        <v>59</v>
      </c>
      <c r="B52" s="74" t="s">
        <v>86</v>
      </c>
      <c r="C52" s="74">
        <v>2.0</v>
      </c>
      <c r="D52" s="74">
        <v>0.0</v>
      </c>
      <c r="E52" s="74">
        <v>0.25</v>
      </c>
      <c r="F52" s="74">
        <v>0.0</v>
      </c>
      <c r="G52" s="74">
        <v>0.125</v>
      </c>
      <c r="H52" s="74">
        <v>0.1067</v>
      </c>
      <c r="I52" s="74">
        <v>3130.63</v>
      </c>
      <c r="J52" s="74">
        <v>28712.0</v>
      </c>
      <c r="K52" s="74">
        <v>15.11</v>
      </c>
      <c r="L52" s="74">
        <v>0.40253164556962023</v>
      </c>
      <c r="M52" s="74">
        <v>0.3488359852353563</v>
      </c>
      <c r="N52" s="74">
        <v>0.056491794429969794</v>
      </c>
      <c r="O52" s="74">
        <v>0.3137091741210734</v>
      </c>
      <c r="P52" s="74">
        <v>0.28039214983900496</v>
      </c>
      <c r="Q52" s="74">
        <v>10.0</v>
      </c>
      <c r="R52" s="74">
        <v>99.79</v>
      </c>
      <c r="S52" s="74">
        <v>1.0</v>
      </c>
      <c r="T52" s="74">
        <v>0.008438818565400843</v>
      </c>
      <c r="U52" s="74">
        <v>0.9884</v>
      </c>
      <c r="V52" s="74">
        <v>1.0</v>
      </c>
      <c r="W52" s="74">
        <v>0.6656129395218002</v>
      </c>
      <c r="X52" s="74">
        <v>-0.2602207896827953</v>
      </c>
      <c r="Y52" s="74" t="s">
        <v>113</v>
      </c>
    </row>
    <row r="53" ht="14.25" customHeight="1">
      <c r="A53" s="74" t="s">
        <v>59</v>
      </c>
      <c r="B53" s="74" t="s">
        <v>87</v>
      </c>
      <c r="C53" s="74">
        <v>0.0</v>
      </c>
      <c r="D53" s="74">
        <v>0.0</v>
      </c>
      <c r="E53" s="74">
        <v>0.0</v>
      </c>
      <c r="F53" s="74">
        <v>0.0</v>
      </c>
      <c r="G53" s="74">
        <v>0.0</v>
      </c>
      <c r="H53" s="74">
        <v>0.0624</v>
      </c>
      <c r="I53" s="74">
        <v>3677.58</v>
      </c>
      <c r="J53" s="74">
        <v>47815.0</v>
      </c>
      <c r="K53" s="74">
        <v>0.39000000000000057</v>
      </c>
      <c r="L53" s="74">
        <v>0.1782278481012658</v>
      </c>
      <c r="M53" s="74">
        <v>0.41008842659786054</v>
      </c>
      <c r="N53" s="74">
        <v>0.10606516706976551</v>
      </c>
      <c r="O53" s="74">
        <v>0.007489078427293518</v>
      </c>
      <c r="P53" s="74">
        <v>0.17546763004904636</v>
      </c>
      <c r="Q53" s="74">
        <v>29.0</v>
      </c>
      <c r="R53" s="74">
        <v>100.0</v>
      </c>
      <c r="S53" s="74">
        <v>1.0</v>
      </c>
      <c r="T53" s="74">
        <v>0.08860759493670886</v>
      </c>
      <c r="U53" s="74">
        <v>1.0</v>
      </c>
      <c r="V53" s="74">
        <v>1.0</v>
      </c>
      <c r="W53" s="74">
        <v>0.6962025316455697</v>
      </c>
      <c r="X53" s="74">
        <v>-0.5207349015965232</v>
      </c>
      <c r="Y53" s="74" t="s">
        <v>116</v>
      </c>
    </row>
    <row r="54" ht="14.25" customHeight="1">
      <c r="A54" s="74" t="s">
        <v>59</v>
      </c>
      <c r="B54" s="74" t="s">
        <v>88</v>
      </c>
      <c r="C54" s="74">
        <v>6.0</v>
      </c>
      <c r="D54" s="74">
        <v>0.0</v>
      </c>
      <c r="E54" s="74">
        <v>0.75</v>
      </c>
      <c r="F54" s="74">
        <v>0.0</v>
      </c>
      <c r="G54" s="74">
        <v>0.375</v>
      </c>
      <c r="H54" s="74">
        <v>0.0874</v>
      </c>
      <c r="I54" s="74">
        <v>4671.13</v>
      </c>
      <c r="J54" s="74">
        <v>29645.0</v>
      </c>
      <c r="K54" s="74">
        <v>0.7999999999999972</v>
      </c>
      <c r="L54" s="74">
        <v>0.30481012658227846</v>
      </c>
      <c r="M54" s="74">
        <v>0.5213552025658943</v>
      </c>
      <c r="N54" s="74">
        <v>0.05891298255083716</v>
      </c>
      <c r="O54" s="74">
        <v>0.016018306636155524</v>
      </c>
      <c r="P54" s="74">
        <v>0.22527415458379138</v>
      </c>
      <c r="Q54" s="74">
        <v>15.0</v>
      </c>
      <c r="R54" s="74">
        <v>99.99</v>
      </c>
      <c r="S54" s="74">
        <v>1.0</v>
      </c>
      <c r="T54" s="74">
        <v>0.029535864978902954</v>
      </c>
      <c r="U54" s="74">
        <v>0.9994</v>
      </c>
      <c r="V54" s="74">
        <v>1.0</v>
      </c>
      <c r="W54" s="74">
        <v>0.6763119549929676</v>
      </c>
      <c r="X54" s="74">
        <v>-0.07603780040917618</v>
      </c>
      <c r="Y54" s="74" t="s">
        <v>114</v>
      </c>
    </row>
    <row r="55" ht="14.25" customHeight="1">
      <c r="A55" s="74" t="s">
        <v>59</v>
      </c>
      <c r="B55" s="74" t="s">
        <v>89</v>
      </c>
      <c r="C55" s="74">
        <v>4.0</v>
      </c>
      <c r="D55" s="74">
        <v>0.0</v>
      </c>
      <c r="E55" s="74">
        <v>0.5</v>
      </c>
      <c r="F55" s="74">
        <v>0.0</v>
      </c>
      <c r="G55" s="74">
        <v>0.25</v>
      </c>
      <c r="H55" s="74">
        <v>0.0725</v>
      </c>
      <c r="I55" s="74">
        <v>8945.16</v>
      </c>
      <c r="J55" s="74">
        <v>392291.0</v>
      </c>
      <c r="K55" s="74">
        <v>0.7399999999999949</v>
      </c>
      <c r="L55" s="74">
        <v>0.2293670886075949</v>
      </c>
      <c r="M55" s="74">
        <v>1.0</v>
      </c>
      <c r="N55" s="74">
        <v>1.0</v>
      </c>
      <c r="O55" s="74">
        <v>0.014770126898273221</v>
      </c>
      <c r="P55" s="74">
        <v>0.561034303876467</v>
      </c>
      <c r="Q55" s="74">
        <v>108.0</v>
      </c>
      <c r="R55" s="74">
        <v>100.0</v>
      </c>
      <c r="S55" s="74">
        <v>1.0</v>
      </c>
      <c r="T55" s="74">
        <v>0.4219409282700422</v>
      </c>
      <c r="U55" s="74">
        <v>1.0</v>
      </c>
      <c r="V55" s="74">
        <v>1.0</v>
      </c>
      <c r="W55" s="74">
        <v>0.8073136427566808</v>
      </c>
      <c r="X55" s="74">
        <v>0.003720661119786195</v>
      </c>
      <c r="Y55" s="74" t="s">
        <v>114</v>
      </c>
    </row>
    <row r="56" ht="14.25" customHeight="1">
      <c r="A56" s="74" t="s">
        <v>59</v>
      </c>
      <c r="B56" s="74" t="s">
        <v>90</v>
      </c>
      <c r="C56" s="74">
        <v>4.0</v>
      </c>
      <c r="D56" s="74">
        <v>0.0</v>
      </c>
      <c r="E56" s="74">
        <v>0.5</v>
      </c>
      <c r="F56" s="74">
        <v>0.0</v>
      </c>
      <c r="G56" s="74">
        <v>0.25</v>
      </c>
      <c r="H56" s="74">
        <v>0.0471</v>
      </c>
      <c r="I56" s="74">
        <v>3315.9</v>
      </c>
      <c r="J56" s="74">
        <v>44254.0</v>
      </c>
      <c r="K56" s="74">
        <v>1.5</v>
      </c>
      <c r="L56" s="74">
        <v>0.10075949367088609</v>
      </c>
      <c r="M56" s="74">
        <v>0.3695842068483578</v>
      </c>
      <c r="N56" s="74">
        <v>0.09682416932227493</v>
      </c>
      <c r="O56" s="74">
        <v>0.030580403578115225</v>
      </c>
      <c r="P56" s="74">
        <v>0.1494370683549085</v>
      </c>
      <c r="Q56" s="74">
        <v>18.0</v>
      </c>
      <c r="R56" s="74">
        <v>100.0</v>
      </c>
      <c r="S56" s="74">
        <v>1.0</v>
      </c>
      <c r="T56" s="74">
        <v>0.04219409282700422</v>
      </c>
      <c r="U56" s="74">
        <v>1.0</v>
      </c>
      <c r="V56" s="74">
        <v>1.0</v>
      </c>
      <c r="W56" s="74">
        <v>0.680731364275668</v>
      </c>
      <c r="X56" s="74">
        <v>-0.28129429592075955</v>
      </c>
      <c r="Y56" s="74" t="s">
        <v>113</v>
      </c>
    </row>
    <row r="57" ht="14.25" customHeight="1">
      <c r="A57" s="74" t="s">
        <v>59</v>
      </c>
      <c r="B57" s="74" t="s">
        <v>91</v>
      </c>
      <c r="C57" s="74">
        <v>5.0</v>
      </c>
      <c r="D57" s="74">
        <v>0.0</v>
      </c>
      <c r="E57" s="74">
        <v>0.625</v>
      </c>
      <c r="F57" s="74">
        <v>0.0</v>
      </c>
      <c r="G57" s="74">
        <v>0.3125</v>
      </c>
      <c r="H57" s="74">
        <v>0.0561</v>
      </c>
      <c r="I57" s="74">
        <v>1530.73</v>
      </c>
      <c r="J57" s="74">
        <v>35598.0</v>
      </c>
      <c r="K57" s="74">
        <v>35.769999999999996</v>
      </c>
      <c r="L57" s="74">
        <v>0.14632911392405062</v>
      </c>
      <c r="M57" s="74">
        <v>0.16966461502625024</v>
      </c>
      <c r="N57" s="74">
        <v>0.07436135648816135</v>
      </c>
      <c r="O57" s="74">
        <v>0.7434990638651965</v>
      </c>
      <c r="P57" s="74">
        <v>0.28346353732591467</v>
      </c>
      <c r="Q57" s="74">
        <v>14.0</v>
      </c>
      <c r="R57" s="74">
        <v>99.65</v>
      </c>
      <c r="S57" s="74">
        <v>1.0</v>
      </c>
      <c r="T57" s="74">
        <v>0.02531645569620253</v>
      </c>
      <c r="U57" s="74">
        <v>0.9807</v>
      </c>
      <c r="V57" s="74">
        <v>1.0</v>
      </c>
      <c r="W57" s="74">
        <v>0.6686721518987341</v>
      </c>
      <c r="X57" s="74">
        <v>-0.07270861457281941</v>
      </c>
      <c r="Y57" s="74" t="s">
        <v>114</v>
      </c>
    </row>
    <row r="58" ht="14.25" customHeight="1">
      <c r="A58" s="74" t="s">
        <v>59</v>
      </c>
      <c r="B58" s="74" t="s">
        <v>92</v>
      </c>
      <c r="C58" s="74">
        <v>4.0</v>
      </c>
      <c r="D58" s="74">
        <v>1.0</v>
      </c>
      <c r="E58" s="74">
        <v>0.5</v>
      </c>
      <c r="F58" s="74">
        <v>1.0</v>
      </c>
      <c r="G58" s="74">
        <v>0.75</v>
      </c>
      <c r="H58" s="74">
        <v>0.1385</v>
      </c>
      <c r="I58" s="74">
        <v>706.89</v>
      </c>
      <c r="J58" s="74">
        <v>22131.0</v>
      </c>
      <c r="K58" s="74">
        <v>17.650000000000006</v>
      </c>
      <c r="L58" s="74">
        <v>0.5635443037974683</v>
      </c>
      <c r="M58" s="74">
        <v>0.07740351018652905</v>
      </c>
      <c r="N58" s="74">
        <v>0.03941372473712073</v>
      </c>
      <c r="O58" s="74">
        <v>0.36654878302475563</v>
      </c>
      <c r="P58" s="74">
        <v>0.26172758043646843</v>
      </c>
      <c r="Q58" s="74">
        <v>9.0</v>
      </c>
      <c r="R58" s="74">
        <v>98.44</v>
      </c>
      <c r="S58" s="74">
        <v>0.901</v>
      </c>
      <c r="T58" s="74">
        <v>0.004219409282700422</v>
      </c>
      <c r="U58" s="74">
        <v>0.9138</v>
      </c>
      <c r="V58" s="74">
        <v>0.7637231503579953</v>
      </c>
      <c r="W58" s="74">
        <v>0.5605808532135652</v>
      </c>
      <c r="X58" s="74">
        <v>0.4511467272229033</v>
      </c>
      <c r="Y58" s="74" t="s">
        <v>115</v>
      </c>
    </row>
    <row r="59" ht="14.25" customHeight="1">
      <c r="A59" s="74" t="s">
        <v>93</v>
      </c>
      <c r="B59" s="74" t="s">
        <v>94</v>
      </c>
      <c r="C59" s="74">
        <v>3.0</v>
      </c>
      <c r="D59" s="74">
        <v>0.0</v>
      </c>
      <c r="E59" s="74">
        <v>0.375</v>
      </c>
      <c r="F59" s="74">
        <v>0.0</v>
      </c>
      <c r="G59" s="74">
        <v>0.1875</v>
      </c>
      <c r="H59" s="74">
        <v>0.1322</v>
      </c>
      <c r="I59" s="74">
        <v>15.72</v>
      </c>
      <c r="J59" s="74">
        <v>10987.0</v>
      </c>
      <c r="K59" s="74">
        <v>23.879999999999995</v>
      </c>
      <c r="L59" s="74">
        <v>0.5316455696202532</v>
      </c>
      <c r="M59" s="74">
        <v>0.0</v>
      </c>
      <c r="N59" s="74">
        <v>0.010494410247360827</v>
      </c>
      <c r="O59" s="74">
        <v>0.49615144580819626</v>
      </c>
      <c r="P59" s="74">
        <v>0.25957285641895256</v>
      </c>
      <c r="Q59" s="74">
        <v>57.0</v>
      </c>
      <c r="R59" s="74">
        <v>81.91</v>
      </c>
      <c r="S59" s="74">
        <v>0.6744</v>
      </c>
      <c r="T59" s="74">
        <v>0.20675105485232068</v>
      </c>
      <c r="U59" s="74">
        <v>0.0</v>
      </c>
      <c r="V59" s="74">
        <v>0.22291169451073992</v>
      </c>
      <c r="W59" s="74">
        <v>0.14322091645435353</v>
      </c>
      <c r="X59" s="74">
        <v>0.303851939964599</v>
      </c>
      <c r="Y59" s="74" t="s">
        <v>115</v>
      </c>
    </row>
    <row r="60" ht="14.25" customHeight="1">
      <c r="A60" s="74" t="s">
        <v>93</v>
      </c>
      <c r="B60" s="74" t="s">
        <v>95</v>
      </c>
      <c r="C60" s="74">
        <v>4.0</v>
      </c>
      <c r="D60" s="74">
        <v>0.0</v>
      </c>
      <c r="E60" s="74">
        <v>0.5</v>
      </c>
      <c r="F60" s="74">
        <v>0.0</v>
      </c>
      <c r="G60" s="74">
        <v>0.25</v>
      </c>
      <c r="H60" s="74">
        <v>0.0652</v>
      </c>
      <c r="I60" s="74">
        <v>89.38</v>
      </c>
      <c r="J60" s="74">
        <v>84743.0</v>
      </c>
      <c r="K60" s="74">
        <v>9.719999999999999</v>
      </c>
      <c r="L60" s="74">
        <v>0.19240506329113918</v>
      </c>
      <c r="M60" s="74">
        <v>0.008249117525847085</v>
      </c>
      <c r="N60" s="74">
        <v>0.20189542958572512</v>
      </c>
      <c r="O60" s="74">
        <v>0.20158102766798414</v>
      </c>
      <c r="P60" s="74">
        <v>0.1510326595176739</v>
      </c>
      <c r="Q60" s="74">
        <v>124.0</v>
      </c>
      <c r="R60" s="74">
        <v>99.76</v>
      </c>
      <c r="S60" s="74">
        <v>0.9505</v>
      </c>
      <c r="T60" s="74">
        <v>0.48945147679324896</v>
      </c>
      <c r="U60" s="74">
        <v>0.9867</v>
      </c>
      <c r="V60" s="74">
        <v>0.8818615751789977</v>
      </c>
      <c r="W60" s="74">
        <v>0.7860043506574156</v>
      </c>
      <c r="X60" s="74">
        <v>-0.3849716911397417</v>
      </c>
      <c r="Y60" s="74" t="s">
        <v>113</v>
      </c>
    </row>
    <row r="61" ht="14.25" customHeight="1">
      <c r="A61" s="74" t="s">
        <v>93</v>
      </c>
      <c r="B61" s="74" t="s">
        <v>96</v>
      </c>
      <c r="C61" s="74">
        <v>2.0</v>
      </c>
      <c r="D61" s="74">
        <v>0.0</v>
      </c>
      <c r="E61" s="74">
        <v>0.25</v>
      </c>
      <c r="F61" s="74">
        <v>0.0</v>
      </c>
      <c r="G61" s="74">
        <v>0.125</v>
      </c>
      <c r="H61" s="74">
        <v>0.0652</v>
      </c>
      <c r="I61" s="74">
        <v>115.71</v>
      </c>
      <c r="J61" s="74">
        <v>64452.0</v>
      </c>
      <c r="K61" s="74">
        <v>14.409999999999997</v>
      </c>
      <c r="L61" s="74">
        <v>0.19240506329113918</v>
      </c>
      <c r="M61" s="74">
        <v>0.011197790678922754</v>
      </c>
      <c r="N61" s="74">
        <v>0.149239129306497</v>
      </c>
      <c r="O61" s="74">
        <v>0.2991470771791137</v>
      </c>
      <c r="P61" s="74">
        <v>0.16299726511391815</v>
      </c>
      <c r="Q61" s="74">
        <v>109.0</v>
      </c>
      <c r="R61" s="74">
        <v>100.0</v>
      </c>
      <c r="S61" s="74">
        <v>0.8243</v>
      </c>
      <c r="T61" s="74">
        <v>0.42616033755274263</v>
      </c>
      <c r="U61" s="74">
        <v>1.0</v>
      </c>
      <c r="V61" s="74">
        <v>0.5806682577565634</v>
      </c>
      <c r="W61" s="74">
        <v>0.668942865103102</v>
      </c>
      <c r="X61" s="74">
        <v>-0.3809455999891838</v>
      </c>
      <c r="Y61" s="74" t="s">
        <v>113</v>
      </c>
    </row>
    <row r="62" ht="14.25" customHeight="1">
      <c r="A62" s="74" t="s">
        <v>93</v>
      </c>
      <c r="B62" s="74" t="s">
        <v>97</v>
      </c>
      <c r="C62" s="74">
        <v>1.0</v>
      </c>
      <c r="D62" s="74">
        <v>0.0</v>
      </c>
      <c r="E62" s="74">
        <v>0.125</v>
      </c>
      <c r="F62" s="74">
        <v>0.0</v>
      </c>
      <c r="G62" s="74">
        <v>0.0625</v>
      </c>
      <c r="H62" s="74">
        <v>0.0515</v>
      </c>
      <c r="I62" s="74">
        <v>79.29</v>
      </c>
      <c r="J62" s="74">
        <v>36636.0</v>
      </c>
      <c r="K62" s="74">
        <v>23.870000000000005</v>
      </c>
      <c r="L62" s="74">
        <v>0.12303797468354429</v>
      </c>
      <c r="M62" s="74">
        <v>0.007119147449336129</v>
      </c>
      <c r="N62" s="74">
        <v>0.07705502558726138</v>
      </c>
      <c r="O62" s="74">
        <v>0.49594341585188273</v>
      </c>
      <c r="P62" s="74">
        <v>0.17578889089300614</v>
      </c>
      <c r="Q62" s="74">
        <v>66.0</v>
      </c>
      <c r="R62" s="74">
        <v>99.4</v>
      </c>
      <c r="S62" s="74">
        <v>0.9355</v>
      </c>
      <c r="T62" s="74">
        <v>0.24472573839662448</v>
      </c>
      <c r="U62" s="74">
        <v>0.9668</v>
      </c>
      <c r="V62" s="74">
        <v>0.8460620525059666</v>
      </c>
      <c r="W62" s="74">
        <v>0.6858625969675304</v>
      </c>
      <c r="X62" s="74">
        <v>-0.44757370607452424</v>
      </c>
      <c r="Y62" s="74" t="s">
        <v>113</v>
      </c>
    </row>
    <row r="63" ht="14.25" customHeight="1">
      <c r="A63" s="74" t="s">
        <v>93</v>
      </c>
      <c r="B63" s="74" t="s">
        <v>98</v>
      </c>
      <c r="C63" s="74">
        <v>1.0</v>
      </c>
      <c r="D63" s="74">
        <v>0.0</v>
      </c>
      <c r="E63" s="74">
        <v>0.125</v>
      </c>
      <c r="F63" s="74">
        <v>0.0</v>
      </c>
      <c r="G63" s="74">
        <v>0.0625</v>
      </c>
      <c r="H63" s="74">
        <v>0.0359</v>
      </c>
      <c r="I63" s="74">
        <v>285.18</v>
      </c>
      <c r="J63" s="74">
        <v>69188.0</v>
      </c>
      <c r="K63" s="74">
        <v>9.959999999999994</v>
      </c>
      <c r="L63" s="74">
        <v>0.04405063291139242</v>
      </c>
      <c r="M63" s="74">
        <v>0.030176584421867436</v>
      </c>
      <c r="N63" s="74">
        <v>0.16152931895325784</v>
      </c>
      <c r="O63" s="74">
        <v>0.20657374661951305</v>
      </c>
      <c r="P63" s="74">
        <v>0.11058257072650768</v>
      </c>
      <c r="Q63" s="74">
        <v>105.0</v>
      </c>
      <c r="R63" s="74">
        <v>99.55</v>
      </c>
      <c r="S63" s="74">
        <v>0.9867</v>
      </c>
      <c r="T63" s="74">
        <v>0.4092827004219409</v>
      </c>
      <c r="U63" s="74">
        <v>0.9751</v>
      </c>
      <c r="V63" s="74">
        <v>0.9682577565632459</v>
      </c>
      <c r="W63" s="74">
        <v>0.7842134856617289</v>
      </c>
      <c r="X63" s="74">
        <v>-0.6111309149352212</v>
      </c>
      <c r="Y63" s="74" t="s">
        <v>116</v>
      </c>
    </row>
    <row r="64" ht="14.25" customHeight="1">
      <c r="A64" s="74" t="s">
        <v>93</v>
      </c>
      <c r="B64" s="74" t="s">
        <v>99</v>
      </c>
      <c r="C64" s="74">
        <v>1.0</v>
      </c>
      <c r="D64" s="74">
        <v>1.0</v>
      </c>
      <c r="E64" s="74">
        <v>0.125</v>
      </c>
      <c r="F64" s="74">
        <v>1.0</v>
      </c>
      <c r="G64" s="74">
        <v>0.5625</v>
      </c>
      <c r="H64" s="74">
        <v>0.0586</v>
      </c>
      <c r="I64" s="74">
        <v>347.95</v>
      </c>
      <c r="J64" s="74">
        <v>77995.0</v>
      </c>
      <c r="K64" s="74">
        <v>6.5</v>
      </c>
      <c r="L64" s="74">
        <v>0.15898734177215187</v>
      </c>
      <c r="M64" s="74">
        <v>0.037206140586643725</v>
      </c>
      <c r="N64" s="74">
        <v>0.18438398538463935</v>
      </c>
      <c r="O64" s="74">
        <v>0.13459538173496982</v>
      </c>
      <c r="P64" s="74">
        <v>0.12879321236960117</v>
      </c>
      <c r="Q64" s="74">
        <v>105.0</v>
      </c>
      <c r="R64" s="74">
        <v>99.69</v>
      </c>
      <c r="S64" s="74">
        <v>0.9223</v>
      </c>
      <c r="T64" s="74">
        <v>0.4092827004219409</v>
      </c>
      <c r="U64" s="74">
        <v>0.9829</v>
      </c>
      <c r="V64" s="74">
        <v>0.8145584725536993</v>
      </c>
      <c r="W64" s="74">
        <v>0.73558039099188</v>
      </c>
      <c r="X64" s="74">
        <v>-0.04428717862227882</v>
      </c>
      <c r="Y64" s="74" t="s">
        <v>114</v>
      </c>
    </row>
    <row r="65" ht="14.25" customHeight="1">
      <c r="A65" s="74" t="s">
        <v>93</v>
      </c>
      <c r="B65" s="74" t="s">
        <v>100</v>
      </c>
      <c r="C65" s="74">
        <v>3.0</v>
      </c>
      <c r="D65" s="74">
        <v>0.0</v>
      </c>
      <c r="E65" s="74">
        <v>0.375</v>
      </c>
      <c r="F65" s="74">
        <v>0.0</v>
      </c>
      <c r="G65" s="74">
        <v>0.1875</v>
      </c>
      <c r="H65" s="74">
        <v>0.0597</v>
      </c>
      <c r="I65" s="74">
        <v>254.58</v>
      </c>
      <c r="J65" s="74">
        <v>98430.0</v>
      </c>
      <c r="K65" s="74">
        <v>7.510000000000005</v>
      </c>
      <c r="L65" s="74">
        <v>0.16455696202531644</v>
      </c>
      <c r="M65" s="74">
        <v>0.026749717787453636</v>
      </c>
      <c r="N65" s="74">
        <v>0.23741397386258656</v>
      </c>
      <c r="O65" s="74">
        <v>0.15560640732265454</v>
      </c>
      <c r="P65" s="74">
        <v>0.14608176524950278</v>
      </c>
      <c r="Q65" s="74">
        <v>191.0</v>
      </c>
      <c r="R65" s="74">
        <v>99.56</v>
      </c>
      <c r="S65" s="74">
        <v>1.0</v>
      </c>
      <c r="T65" s="74">
        <v>0.7721518987341772</v>
      </c>
      <c r="U65" s="74">
        <v>0.9757</v>
      </c>
      <c r="V65" s="74">
        <v>1.0</v>
      </c>
      <c r="W65" s="74">
        <v>0.9159506329113923</v>
      </c>
      <c r="X65" s="74">
        <v>-0.5823688676618896</v>
      </c>
      <c r="Y65" s="74" t="s">
        <v>116</v>
      </c>
    </row>
    <row r="66" ht="14.25" customHeight="1">
      <c r="A66" s="74" t="s">
        <v>93</v>
      </c>
      <c r="B66" s="74" t="s">
        <v>101</v>
      </c>
      <c r="C66" s="74">
        <v>3.0</v>
      </c>
      <c r="D66" s="74">
        <v>0.0</v>
      </c>
      <c r="E66" s="74">
        <v>0.375</v>
      </c>
      <c r="F66" s="74">
        <v>0.0</v>
      </c>
      <c r="G66" s="74">
        <v>0.1875</v>
      </c>
      <c r="H66" s="74">
        <v>0.061</v>
      </c>
      <c r="I66" s="74">
        <v>123.94</v>
      </c>
      <c r="J66" s="74">
        <v>69390.0</v>
      </c>
      <c r="K66" s="74">
        <v>29.17</v>
      </c>
      <c r="L66" s="74">
        <v>0.1711392405063291</v>
      </c>
      <c r="M66" s="74">
        <v>0.012119461018832087</v>
      </c>
      <c r="N66" s="74">
        <v>0.16205352045423876</v>
      </c>
      <c r="O66" s="74">
        <v>0.6061992926981485</v>
      </c>
      <c r="P66" s="74">
        <v>0.23787787866938712</v>
      </c>
      <c r="Q66" s="74">
        <v>107.0</v>
      </c>
      <c r="R66" s="74">
        <v>99.73</v>
      </c>
      <c r="S66" s="74">
        <v>0.9367</v>
      </c>
      <c r="T66" s="74">
        <v>0.4177215189873418</v>
      </c>
      <c r="U66" s="74">
        <v>0.9851</v>
      </c>
      <c r="V66" s="74">
        <v>0.8489260143198091</v>
      </c>
      <c r="W66" s="74">
        <v>0.7505825111023836</v>
      </c>
      <c r="X66" s="74">
        <v>-0.32520463243299647</v>
      </c>
      <c r="Y66" s="74" t="s">
        <v>113</v>
      </c>
    </row>
    <row r="67" ht="14.25" customHeight="1">
      <c r="A67" s="74" t="s">
        <v>93</v>
      </c>
      <c r="B67" s="74" t="s">
        <v>102</v>
      </c>
      <c r="C67" s="74">
        <v>3.0</v>
      </c>
      <c r="D67" s="74">
        <v>1.0</v>
      </c>
      <c r="E67" s="74">
        <v>0.375</v>
      </c>
      <c r="F67" s="74">
        <v>1.0</v>
      </c>
      <c r="G67" s="74">
        <v>0.6875</v>
      </c>
      <c r="H67" s="74">
        <v>0.0602</v>
      </c>
      <c r="I67" s="74">
        <v>82.75</v>
      </c>
      <c r="J67" s="74">
        <v>45398.0</v>
      </c>
      <c r="K67" s="74">
        <v>14.930000000000007</v>
      </c>
      <c r="L67" s="74">
        <v>0.1670886075949367</v>
      </c>
      <c r="M67" s="74">
        <v>0.007506629755057428</v>
      </c>
      <c r="N67" s="74">
        <v>0.09979291445654317</v>
      </c>
      <c r="O67" s="74">
        <v>0.30996463490742676</v>
      </c>
      <c r="P67" s="74">
        <v>0.14608819667849102</v>
      </c>
      <c r="Q67" s="74">
        <v>75.0</v>
      </c>
      <c r="R67" s="74">
        <v>99.75</v>
      </c>
      <c r="S67" s="74">
        <v>0.8387</v>
      </c>
      <c r="T67" s="74">
        <v>0.28270042194092826</v>
      </c>
      <c r="U67" s="74">
        <v>0.9862</v>
      </c>
      <c r="V67" s="74">
        <v>0.6150357995226731</v>
      </c>
      <c r="W67" s="74">
        <v>0.6279787404878672</v>
      </c>
      <c r="X67" s="74">
        <v>0.20560945619062387</v>
      </c>
      <c r="Y67" s="74" t="s">
        <v>115</v>
      </c>
    </row>
    <row r="68" ht="14.25" customHeight="1">
      <c r="A68" s="74" t="s">
        <v>93</v>
      </c>
      <c r="B68" s="74" t="s">
        <v>103</v>
      </c>
      <c r="C68" s="74">
        <v>4.0</v>
      </c>
      <c r="D68" s="74">
        <v>0.0</v>
      </c>
      <c r="E68" s="74">
        <v>0.5</v>
      </c>
      <c r="F68" s="74">
        <v>0.0</v>
      </c>
      <c r="G68" s="74">
        <v>0.25</v>
      </c>
      <c r="H68" s="74">
        <v>0.06</v>
      </c>
      <c r="I68" s="74">
        <v>60.48</v>
      </c>
      <c r="J68" s="74">
        <v>28395.0</v>
      </c>
      <c r="K68" s="74">
        <v>17.930000000000007</v>
      </c>
      <c r="L68" s="74">
        <v>0.16607594936708858</v>
      </c>
      <c r="M68" s="74">
        <v>0.005012632371122937</v>
      </c>
      <c r="N68" s="74">
        <v>0.05566916138140071</v>
      </c>
      <c r="O68" s="74">
        <v>0.37237362180153954</v>
      </c>
      <c r="P68" s="74">
        <v>0.14978284123028796</v>
      </c>
      <c r="Q68" s="74">
        <v>65.0</v>
      </c>
      <c r="R68" s="74">
        <v>99.27</v>
      </c>
      <c r="S68" s="74">
        <v>0.8085</v>
      </c>
      <c r="T68" s="74">
        <v>0.24050632911392406</v>
      </c>
      <c r="U68" s="74">
        <v>0.9596</v>
      </c>
      <c r="V68" s="74">
        <v>0.5429594272076372</v>
      </c>
      <c r="W68" s="74">
        <v>0.5810219187738538</v>
      </c>
      <c r="X68" s="74">
        <v>-0.18123907754356583</v>
      </c>
      <c r="Y68" s="74" t="s">
        <v>114</v>
      </c>
    </row>
    <row r="69" ht="14.25" customHeight="1">
      <c r="A69" s="74" t="s">
        <v>93</v>
      </c>
      <c r="B69" s="74" t="s">
        <v>104</v>
      </c>
      <c r="C69" s="74">
        <v>4.0</v>
      </c>
      <c r="D69" s="74">
        <v>0.0</v>
      </c>
      <c r="E69" s="74">
        <v>0.5</v>
      </c>
      <c r="F69" s="74">
        <v>0.0</v>
      </c>
      <c r="G69" s="74">
        <v>0.25</v>
      </c>
      <c r="H69" s="74">
        <v>0.0461</v>
      </c>
      <c r="I69" s="74">
        <v>84.94</v>
      </c>
      <c r="J69" s="74">
        <v>35169.0</v>
      </c>
      <c r="K69" s="74">
        <v>30.650000000000006</v>
      </c>
      <c r="L69" s="74">
        <v>0.09569620253164558</v>
      </c>
      <c r="M69" s="74">
        <v>0.007751885896539984</v>
      </c>
      <c r="N69" s="74">
        <v>0.07324807706281075</v>
      </c>
      <c r="O69" s="74">
        <v>0.6369877262325776</v>
      </c>
      <c r="P69" s="74">
        <v>0.20342097293089348</v>
      </c>
      <c r="Q69" s="74">
        <v>83.0</v>
      </c>
      <c r="R69" s="74">
        <v>99.96</v>
      </c>
      <c r="S69" s="74">
        <v>0.8846</v>
      </c>
      <c r="T69" s="74">
        <v>0.31645569620253167</v>
      </c>
      <c r="U69" s="74">
        <v>0.9978</v>
      </c>
      <c r="V69" s="74">
        <v>0.7245823389021481</v>
      </c>
      <c r="W69" s="74">
        <v>0.6796126783682266</v>
      </c>
      <c r="X69" s="74">
        <v>-0.22619170543733313</v>
      </c>
      <c r="Y69" s="74" t="s">
        <v>113</v>
      </c>
    </row>
    <row r="70" ht="14.25" customHeight="1">
      <c r="A70" s="74" t="s">
        <v>93</v>
      </c>
      <c r="B70" s="74" t="s">
        <v>105</v>
      </c>
      <c r="C70" s="74">
        <v>1.0</v>
      </c>
      <c r="D70" s="74">
        <v>0.0</v>
      </c>
      <c r="E70" s="74">
        <v>0.125</v>
      </c>
      <c r="F70" s="74">
        <v>0.0</v>
      </c>
      <c r="G70" s="74">
        <v>0.0625</v>
      </c>
      <c r="H70" s="74">
        <v>0.063</v>
      </c>
      <c r="I70" s="74">
        <v>120.11</v>
      </c>
      <c r="J70" s="74">
        <v>64983.0</v>
      </c>
      <c r="K70" s="74">
        <v>18.450000000000003</v>
      </c>
      <c r="L70" s="74">
        <v>0.1812658227848101</v>
      </c>
      <c r="M70" s="74">
        <v>0.011690542744001864</v>
      </c>
      <c r="N70" s="74">
        <v>0.1506171045392736</v>
      </c>
      <c r="O70" s="74">
        <v>0.3831911795298523</v>
      </c>
      <c r="P70" s="74">
        <v>0.18169116239948446</v>
      </c>
      <c r="Q70" s="74">
        <v>88.0</v>
      </c>
      <c r="R70" s="74">
        <v>99.73</v>
      </c>
      <c r="S70" s="74">
        <v>0.9778</v>
      </c>
      <c r="T70" s="74">
        <v>0.33755274261603374</v>
      </c>
      <c r="U70" s="74">
        <v>0.9851</v>
      </c>
      <c r="V70" s="74">
        <v>0.9470167064439141</v>
      </c>
      <c r="W70" s="74">
        <v>0.7565564830199826</v>
      </c>
      <c r="X70" s="74">
        <v>-0.5123653206204981</v>
      </c>
      <c r="Y70" s="74" t="s">
        <v>116</v>
      </c>
    </row>
    <row r="71" ht="14.25" customHeight="1">
      <c r="A71" s="74" t="s">
        <v>93</v>
      </c>
      <c r="B71" s="74" t="s">
        <v>106</v>
      </c>
      <c r="C71" s="74">
        <v>1.0</v>
      </c>
      <c r="D71" s="74">
        <v>0.0</v>
      </c>
      <c r="E71" s="74">
        <v>0.125</v>
      </c>
      <c r="F71" s="74">
        <v>0.0</v>
      </c>
      <c r="G71" s="74">
        <v>0.0625</v>
      </c>
      <c r="H71" s="74">
        <v>0.0363</v>
      </c>
      <c r="I71" s="74">
        <v>1389.89</v>
      </c>
      <c r="J71" s="74">
        <v>145914.0</v>
      </c>
      <c r="K71" s="74">
        <v>4.75</v>
      </c>
      <c r="L71" s="74">
        <v>0.04607594936708861</v>
      </c>
      <c r="M71" s="74">
        <v>0.15389206937949076</v>
      </c>
      <c r="N71" s="74">
        <v>0.36063765739020315</v>
      </c>
      <c r="O71" s="74">
        <v>0.0981901393800707</v>
      </c>
      <c r="P71" s="74">
        <v>0.16469895387921332</v>
      </c>
      <c r="Q71" s="74">
        <v>245.0</v>
      </c>
      <c r="R71" s="74">
        <v>99.97</v>
      </c>
      <c r="S71" s="74">
        <v>1.0</v>
      </c>
      <c r="T71" s="74">
        <v>1.0</v>
      </c>
      <c r="U71" s="74">
        <v>0.9983</v>
      </c>
      <c r="V71" s="74">
        <v>1.0</v>
      </c>
      <c r="W71" s="74">
        <v>0.9994333333333333</v>
      </c>
      <c r="X71" s="74">
        <v>-0.77223437945412</v>
      </c>
      <c r="Y71" s="74" t="s">
        <v>116</v>
      </c>
    </row>
    <row r="72" ht="14.25" customHeight="1">
      <c r="A72" s="74" t="s">
        <v>93</v>
      </c>
      <c r="B72" s="74" t="s">
        <v>107</v>
      </c>
      <c r="C72" s="74">
        <v>2.0</v>
      </c>
      <c r="D72" s="74">
        <v>0.0</v>
      </c>
      <c r="E72" s="74">
        <v>0.25</v>
      </c>
      <c r="F72" s="74">
        <v>0.0</v>
      </c>
      <c r="G72" s="74">
        <v>0.125</v>
      </c>
      <c r="H72" s="74">
        <v>0.0291</v>
      </c>
      <c r="I72" s="74">
        <v>1380.43</v>
      </c>
      <c r="J72" s="74">
        <v>11572.0</v>
      </c>
      <c r="K72" s="74">
        <v>4.650000000000006</v>
      </c>
      <c r="L72" s="74">
        <v>0.009620253164556974</v>
      </c>
      <c r="M72" s="74">
        <v>0.15283265243957067</v>
      </c>
      <c r="N72" s="74">
        <v>0.01201251855465709</v>
      </c>
      <c r="O72" s="74">
        <v>0.09610983981693373</v>
      </c>
      <c r="P72" s="74">
        <v>0.06764381599392962</v>
      </c>
      <c r="Q72" s="74">
        <v>40.0</v>
      </c>
      <c r="R72" s="74">
        <v>99.64</v>
      </c>
      <c r="S72" s="74">
        <v>1.0</v>
      </c>
      <c r="T72" s="74">
        <v>0.1350210970464135</v>
      </c>
      <c r="U72" s="74">
        <v>0.9801</v>
      </c>
      <c r="V72" s="74">
        <v>1.0</v>
      </c>
      <c r="W72" s="74">
        <v>0.7050403656821378</v>
      </c>
      <c r="X72" s="74">
        <v>-0.5123965496882081</v>
      </c>
      <c r="Y72" s="74" t="s">
        <v>116</v>
      </c>
    </row>
    <row r="73" ht="14.25" customHeight="1">
      <c r="A73" s="74" t="s">
        <v>93</v>
      </c>
      <c r="B73" s="74" t="s">
        <v>108</v>
      </c>
      <c r="C73" s="74">
        <v>0.0</v>
      </c>
      <c r="D73" s="74">
        <v>0.0</v>
      </c>
      <c r="E73" s="74">
        <v>0.0</v>
      </c>
      <c r="F73" s="74">
        <v>0.0</v>
      </c>
      <c r="G73" s="74">
        <v>0.0</v>
      </c>
      <c r="H73" s="74">
        <v>0.0272</v>
      </c>
      <c r="I73" s="74">
        <v>300.48</v>
      </c>
      <c r="J73" s="74">
        <v>10755.0</v>
      </c>
      <c r="K73" s="74">
        <v>9.969999999999999</v>
      </c>
      <c r="L73" s="74">
        <v>0.0</v>
      </c>
      <c r="M73" s="74">
        <v>0.03189001773907434</v>
      </c>
      <c r="N73" s="74">
        <v>0.009892357038313421</v>
      </c>
      <c r="O73" s="74">
        <v>0.20678177657582686</v>
      </c>
      <c r="P73" s="74">
        <v>0.06214103783830366</v>
      </c>
      <c r="Q73" s="74">
        <v>47.0</v>
      </c>
      <c r="R73" s="74">
        <v>99.76</v>
      </c>
      <c r="S73" s="74">
        <v>0.9737</v>
      </c>
      <c r="T73" s="74">
        <v>0.16455696202531644</v>
      </c>
      <c r="U73" s="74">
        <v>0.9867</v>
      </c>
      <c r="V73" s="74">
        <v>0.9372315035799523</v>
      </c>
      <c r="W73" s="74">
        <v>0.6961628218684229</v>
      </c>
      <c r="X73" s="74">
        <v>-0.6340217840301192</v>
      </c>
      <c r="Y73" s="74" t="s">
        <v>116</v>
      </c>
    </row>
    <row r="74" ht="14.25" customHeight="1">
      <c r="A74" s="74" t="s">
        <v>93</v>
      </c>
      <c r="B74" s="74" t="s">
        <v>109</v>
      </c>
      <c r="C74" s="74">
        <v>1.0</v>
      </c>
      <c r="D74" s="74">
        <v>0.0</v>
      </c>
      <c r="E74" s="74">
        <v>0.125</v>
      </c>
      <c r="F74" s="74">
        <v>0.0</v>
      </c>
      <c r="G74" s="74">
        <v>0.0625</v>
      </c>
      <c r="H74" s="74">
        <v>0.0497</v>
      </c>
      <c r="I74" s="74">
        <v>2557.89</v>
      </c>
      <c r="J74" s="74">
        <v>9595.0</v>
      </c>
      <c r="K74" s="74">
        <v>0.6099999999999994</v>
      </c>
      <c r="L74" s="74">
        <v>0.1139240506329114</v>
      </c>
      <c r="M74" s="74">
        <v>0.28469534483685427</v>
      </c>
      <c r="N74" s="74">
        <v>0.006882090993076388</v>
      </c>
      <c r="O74" s="74">
        <v>0.012065737466195096</v>
      </c>
      <c r="P74" s="74">
        <v>0.10439180598225929</v>
      </c>
      <c r="Q74" s="74">
        <v>30.0</v>
      </c>
      <c r="R74" s="74">
        <v>100.0</v>
      </c>
      <c r="S74" s="74">
        <v>1.0</v>
      </c>
      <c r="T74" s="74">
        <v>0.09282700421940929</v>
      </c>
      <c r="U74" s="74">
        <v>1.0</v>
      </c>
      <c r="V74" s="74">
        <v>1.0</v>
      </c>
      <c r="W74" s="74">
        <v>0.6976090014064699</v>
      </c>
      <c r="X74" s="74">
        <v>-0.5307171954242106</v>
      </c>
      <c r="Y74" s="74" t="s">
        <v>116</v>
      </c>
    </row>
    <row r="75" ht="14.25" customHeight="1">
      <c r="A75" s="74" t="s">
        <v>93</v>
      </c>
      <c r="B75" s="74" t="s">
        <v>110</v>
      </c>
      <c r="C75" s="74">
        <v>2.0</v>
      </c>
      <c r="D75" s="74">
        <v>0.0</v>
      </c>
      <c r="E75" s="74">
        <v>0.25</v>
      </c>
      <c r="F75" s="74">
        <v>0.0</v>
      </c>
      <c r="G75" s="74">
        <v>0.125</v>
      </c>
      <c r="H75" s="74">
        <v>0.0378</v>
      </c>
      <c r="I75" s="74">
        <v>5209.12</v>
      </c>
      <c r="J75" s="74">
        <v>20509.0</v>
      </c>
      <c r="K75" s="74">
        <v>0.030000000000001137</v>
      </c>
      <c r="L75" s="74">
        <v>0.05367088607594937</v>
      </c>
      <c r="M75" s="74">
        <v>0.5816042215413284</v>
      </c>
      <c r="N75" s="74">
        <v>0.035204542387659986</v>
      </c>
      <c r="O75" s="74">
        <v>0.0</v>
      </c>
      <c r="P75" s="74">
        <v>0.16761991250123445</v>
      </c>
      <c r="Q75" s="74">
        <v>46.0</v>
      </c>
      <c r="R75" s="74">
        <v>100.0</v>
      </c>
      <c r="S75" s="74">
        <v>1.0</v>
      </c>
      <c r="T75" s="74">
        <v>0.16033755274261605</v>
      </c>
      <c r="U75" s="74">
        <v>1.0</v>
      </c>
      <c r="V75" s="74">
        <v>1.0</v>
      </c>
      <c r="W75" s="74">
        <v>0.7201125175808721</v>
      </c>
      <c r="X75" s="74">
        <v>-0.4274926050796377</v>
      </c>
      <c r="Y75" s="74" t="s">
        <v>113</v>
      </c>
    </row>
    <row r="76" ht="14.25" customHeight="1">
      <c r="A76" s="74" t="s">
        <v>93</v>
      </c>
      <c r="B76" s="74" t="s">
        <v>111</v>
      </c>
      <c r="C76" s="74">
        <v>0.0</v>
      </c>
      <c r="D76" s="74">
        <v>0.0</v>
      </c>
      <c r="E76" s="74">
        <v>0.0</v>
      </c>
      <c r="F76" s="74">
        <v>0.0</v>
      </c>
      <c r="G76" s="74">
        <v>0.0</v>
      </c>
      <c r="H76" s="74">
        <v>0.0495</v>
      </c>
      <c r="I76" s="74">
        <v>1993.2</v>
      </c>
      <c r="J76" s="74">
        <v>24181.0</v>
      </c>
      <c r="K76" s="74">
        <v>1.9500000000000028</v>
      </c>
      <c r="L76" s="74">
        <v>0.1129113924050633</v>
      </c>
      <c r="M76" s="74">
        <v>0.2214562167392356</v>
      </c>
      <c r="N76" s="74">
        <v>0.04473359145499652</v>
      </c>
      <c r="O76" s="74">
        <v>0.0399417516122322</v>
      </c>
      <c r="P76" s="74">
        <v>0.1047607380528819</v>
      </c>
      <c r="Q76" s="74">
        <v>60.0</v>
      </c>
      <c r="R76" s="74">
        <v>100.0</v>
      </c>
      <c r="S76" s="74">
        <v>1.0</v>
      </c>
      <c r="T76" s="74">
        <v>0.21940928270042195</v>
      </c>
      <c r="U76" s="74">
        <v>1.0</v>
      </c>
      <c r="V76" s="74">
        <v>1.0</v>
      </c>
      <c r="W76" s="74">
        <v>0.739803094233474</v>
      </c>
      <c r="X76" s="74">
        <v>-0.6350423561805921</v>
      </c>
      <c r="Y76" s="74" t="s">
        <v>116</v>
      </c>
    </row>
    <row r="77" ht="14.25" customHeight="1">
      <c r="A77" s="74" t="s">
        <v>93</v>
      </c>
      <c r="B77" s="74" t="s">
        <v>112</v>
      </c>
      <c r="C77" s="74">
        <v>1.0</v>
      </c>
      <c r="D77" s="74">
        <v>0.0</v>
      </c>
      <c r="E77" s="74">
        <v>0.125</v>
      </c>
      <c r="F77" s="74">
        <v>0.0</v>
      </c>
      <c r="G77" s="74">
        <v>0.0625</v>
      </c>
      <c r="H77" s="74">
        <v>0.0383</v>
      </c>
      <c r="I77" s="74">
        <v>1535.41</v>
      </c>
      <c r="J77" s="74">
        <v>16632.0</v>
      </c>
      <c r="K77" s="74">
        <v>3.480000000000004</v>
      </c>
      <c r="L77" s="74">
        <v>0.056202531645569626</v>
      </c>
      <c r="M77" s="74">
        <v>0.1701887240409253</v>
      </c>
      <c r="N77" s="74">
        <v>0.02514350664853587</v>
      </c>
      <c r="O77" s="74">
        <v>0.07177033492822972</v>
      </c>
      <c r="P77" s="74">
        <v>0.08082627431581513</v>
      </c>
      <c r="Q77" s="74">
        <v>37.0</v>
      </c>
      <c r="R77" s="74">
        <v>100.0</v>
      </c>
      <c r="S77" s="74">
        <v>0.9859</v>
      </c>
      <c r="T77" s="74">
        <v>0.12236286919831224</v>
      </c>
      <c r="U77" s="74">
        <v>1.0</v>
      </c>
      <c r="V77" s="74">
        <v>0.9663484486873508</v>
      </c>
      <c r="W77" s="74">
        <v>0.6962371059618877</v>
      </c>
      <c r="X77" s="74">
        <v>-0.5529108316460726</v>
      </c>
      <c r="Y77" s="74" t="s">
        <v>116</v>
      </c>
    </row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2026-05-25T00:51:36Z</dcterms:created>
  <dc:creator>Ilham Tessa</dc:creator>
</cp:coreProperties>
</file>